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E13D904C-E6C9-4A24-BEF3-2B08DFC59599}" xr6:coauthVersionLast="47" xr6:coauthVersionMax="47" xr10:uidLastSave="{00000000-0000-0000-0000-000000000000}"/>
  <bookViews>
    <workbookView xWindow="-36" yWindow="0" windowWidth="11592" windowHeight="12336" xr2:uid="{934E2846-E07B-884A-9144-F9B94297545B}"/>
  </bookViews>
  <sheets>
    <sheet name="center_first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L1" i="1"/>
  <c r="K1" i="1"/>
</calcChain>
</file>

<file path=xl/sharedStrings.xml><?xml version="1.0" encoding="utf-8"?>
<sst xmlns="http://schemas.openxmlformats.org/spreadsheetml/2006/main" count="247" uniqueCount="239">
  <si>
    <t xml:space="preserve"> 0.11774509695014779</t>
  </si>
  <si>
    <t>&lt;--</t>
  </si>
  <si>
    <t>webplot digitizer points</t>
  </si>
  <si>
    <t xml:space="preserve"> 0.11247265182819666</t>
  </si>
  <si>
    <t xml:space="preserve"> 0.10895768841356246</t>
  </si>
  <si>
    <t>webplot digitizer points with LE at origin</t>
  </si>
  <si>
    <t>&gt;</t>
  </si>
  <si>
    <t xml:space="preserve"> 0.10544272499892837</t>
  </si>
  <si>
    <t xml:space="preserve"> 0.10017027987697724</t>
  </si>
  <si>
    <t>0.010544815465729385</t>
  </si>
  <si>
    <t>0.014059753954305837</t>
  </si>
  <si>
    <t>0.021089630931458714</t>
  </si>
  <si>
    <t>0.024604569420035166</t>
  </si>
  <si>
    <t xml:space="preserve"> 0.059840862210124635</t>
  </si>
  <si>
    <t>0.038664323374340975</t>
  </si>
  <si>
    <t xml:space="preserve"> 0.049345391486990575</t>
  </si>
  <si>
    <t>0.052724077328646785</t>
  </si>
  <si>
    <t>0.061511423550087874</t>
  </si>
  <si>
    <t xml:space="preserve"> 0.028453289082258193</t>
  </si>
  <si>
    <t>0.10720562390158173</t>
  </si>
  <si>
    <t>0.12126537785588754</t>
  </si>
  <si>
    <t xml:space="preserve"> 0.025030987269064164</t>
  </si>
  <si>
    <t>0.13181019332161686</t>
  </si>
  <si>
    <t>0.14586994727592273</t>
  </si>
  <si>
    <t xml:space="preserve"> 0.021602508015774347</t>
  </si>
  <si>
    <t>0.15641476274165206</t>
  </si>
  <si>
    <t xml:space="preserve"> 0.019882090949033482</t>
  </si>
  <si>
    <t>0.1669595782073814</t>
  </si>
  <si>
    <t xml:space="preserve"> 0.018161673882292395</t>
  </si>
  <si>
    <t>0.17750439367311072</t>
  </si>
  <si>
    <t xml:space="preserve"> 0.018198738522868463</t>
  </si>
  <si>
    <t>0.18804920913884005</t>
  </si>
  <si>
    <t>0.19859402460456943</t>
  </si>
  <si>
    <t xml:space="preserve"> 0.016515386096703666</t>
  </si>
  <si>
    <t>0.20913884007029881</t>
  </si>
  <si>
    <t xml:space="preserve"> 0.016552450737279734</t>
  </si>
  <si>
    <t>0.21792618629173993</t>
  </si>
  <si>
    <t>0.23022847100175747</t>
  </si>
  <si>
    <t>0.24253075571177501</t>
  </si>
  <si>
    <t>0.25483304042179267</t>
  </si>
  <si>
    <t xml:space="preserve"> 0.016750128820352317</t>
  </si>
  <si>
    <t>0.2759226713532513</t>
  </si>
  <si>
    <t xml:space="preserve"> 0.016787193460928496</t>
  </si>
  <si>
    <t>0.28646748681898065</t>
  </si>
  <si>
    <t xml:space="preserve"> 0.016824258101504563</t>
  </si>
  <si>
    <t>0.30228471001757473</t>
  </si>
  <si>
    <t xml:space="preserve"> 0.016879855062368665</t>
  </si>
  <si>
    <t>0.31634446397188043</t>
  </si>
  <si>
    <t>0.32864674868189814</t>
  </si>
  <si>
    <t>0.3409490333919156</t>
  </si>
  <si>
    <t xml:space="preserve"> 0.020530722159115333</t>
  </si>
  <si>
    <t>0.3532513181019332</t>
  </si>
  <si>
    <t xml:space="preserve"> 0.020573964239787412</t>
  </si>
  <si>
    <t>0.3620386643233743</t>
  </si>
  <si>
    <t xml:space="preserve"> 0.022362333147584512</t>
  </si>
  <si>
    <t>0.37258347978910367</t>
  </si>
  <si>
    <t>0.38137082601054484</t>
  </si>
  <si>
    <t>0.39367311072056244</t>
  </si>
  <si>
    <t>0.4059753954305799</t>
  </si>
  <si>
    <t xml:space="preserve"> 0.026031732564619103</t>
  </si>
  <si>
    <t>0.42003514938488573</t>
  </si>
  <si>
    <t xml:space="preserve"> 0.027838633792704348</t>
  </si>
  <si>
    <t>0.43233743409490333</t>
  </si>
  <si>
    <t xml:space="preserve"> 0.029639357580693693</t>
  </si>
  <si>
    <t>0.44639718804920914</t>
  </si>
  <si>
    <t xml:space="preserve"> 0.031446258808778826</t>
  </si>
  <si>
    <t>0.4586994727592266</t>
  </si>
  <si>
    <t>0.4797891036906855</t>
  </si>
  <si>
    <t>0.4903339191564148</t>
  </si>
  <si>
    <t xml:space="preserve"> 0.038630621640447504</t>
  </si>
  <si>
    <t>0.5026362038664324</t>
  </si>
  <si>
    <t>0.5166959578207382</t>
  </si>
  <si>
    <t xml:space="preserve"> 0.043995728363839026</t>
  </si>
  <si>
    <t>0.5289982425307557</t>
  </si>
  <si>
    <t>0.5413005272407733</t>
  </si>
  <si>
    <t xml:space="preserve"> 0.049354657647134426</t>
  </si>
  <si>
    <t>0.5553602811950791</t>
  </si>
  <si>
    <t>0.5694200351493848</t>
  </si>
  <si>
    <t>0.5852372583479789</t>
  </si>
  <si>
    <t>0.5992970123022847</t>
  </si>
  <si>
    <t>0.6115992970123023</t>
  </si>
  <si>
    <t>0.6221441124780316</t>
  </si>
  <si>
    <t>0.6449912126537786</t>
  </si>
  <si>
    <t>0.6695957820738137</t>
  </si>
  <si>
    <t>0.6801405975395431</t>
  </si>
  <si>
    <t>0.6959578207381371</t>
  </si>
  <si>
    <t>0.7117750439367311</t>
  </si>
  <si>
    <t>0.7258347978910369</t>
  </si>
  <si>
    <t>0.7381370826010545</t>
  </si>
  <si>
    <t>0.7521968365553602</t>
  </si>
  <si>
    <t xml:space="preserve"> 0.1010629199708516</t>
  </si>
  <si>
    <t xml:space="preserve"> 0.10638478461357115</t>
  </si>
  <si>
    <t>0.7820738137082601</t>
  </si>
  <si>
    <t xml:space="preserve"> 0.11171282669638638</t>
  </si>
  <si>
    <t>0.7978910369068541</t>
  </si>
  <si>
    <t xml:space="preserve"> 0.11704086877920183</t>
  </si>
  <si>
    <t>0.8172231985940246</t>
  </si>
  <si>
    <t xml:space="preserve"> 0.12238126574220931</t>
  </si>
  <si>
    <t xml:space="preserve"> 0.12947914441253372</t>
  </si>
  <si>
    <t>0.8558875219683655</t>
  </si>
  <si>
    <t xml:space="preserve"> 0.13657702308285824</t>
  </si>
  <si>
    <t>0.8717047451669595</t>
  </si>
  <si>
    <t xml:space="preserve"> 0.14366254687299063</t>
  </si>
  <si>
    <t>0.8875219683655535</t>
  </si>
  <si>
    <t xml:space="preserve"> 0.14899058895580608</t>
  </si>
  <si>
    <t>0.8998242530755711</t>
  </si>
  <si>
    <t xml:space="preserve"> 0.1543062761584293</t>
  </si>
  <si>
    <t>0.9138840070298768</t>
  </si>
  <si>
    <t xml:space="preserve"> 0.1613856225084659</t>
  </si>
  <si>
    <t>0.9314586994727592</t>
  </si>
  <si>
    <t xml:space="preserve"> 0.16847732373869428</t>
  </si>
  <si>
    <t>0.9437609841827768</t>
  </si>
  <si>
    <t xml:space="preserve"> 0.17555049264863465</t>
  </si>
  <si>
    <t>0.9595782073813708</t>
  </si>
  <si>
    <t xml:space="preserve"> 0.18263601643876715</t>
  </si>
  <si>
    <t>0.9753954305799648</t>
  </si>
  <si>
    <t xml:space="preserve"> 0.1914790219362167</t>
  </si>
  <si>
    <t>0.9894551845342705</t>
  </si>
  <si>
    <t xml:space="preserve"> 0.19855836828625317</t>
  </si>
  <si>
    <t>0.9982425307557117</t>
  </si>
  <si>
    <t xml:space="preserve"> 0.20210421890136743</t>
  </si>
  <si>
    <t>0.9964850615114236</t>
  </si>
  <si>
    <t xml:space="preserve"> 0.2091279682905396</t>
  </si>
  <si>
    <t>0.9876977152899824</t>
  </si>
  <si>
    <t xml:space="preserve"> 0.20558211767542534</t>
  </si>
  <si>
    <t>0.9718804920913884</t>
  </si>
  <si>
    <t xml:space="preserve"> 0.2002540755926101</t>
  </si>
  <si>
    <t>0.9560632688927944</t>
  </si>
  <si>
    <t xml:space="preserve"> 0.19492603350979465</t>
  </si>
  <si>
    <t>0.9402460456942003</t>
  </si>
  <si>
    <t xml:space="preserve"> 0.19135547313429635</t>
  </si>
  <si>
    <t>0.9244288224956063</t>
  </si>
  <si>
    <t xml:space="preserve"> 0.18778491275879794</t>
  </si>
  <si>
    <t xml:space="preserve"> 0.1824506932358867</t>
  </si>
  <si>
    <t xml:space="preserve"> 0.17886777798019637</t>
  </si>
  <si>
    <t xml:space="preserve"> 0.17529721760469785</t>
  </si>
  <si>
    <t>0.8576449912126538</t>
  </si>
  <si>
    <t xml:space="preserve"> 0.17349031637661272</t>
  </si>
  <si>
    <t>0.8418277680140598</t>
  </si>
  <si>
    <t xml:space="preserve"> 0.17167723770843146</t>
  </si>
  <si>
    <t>0.8260105448154655</t>
  </si>
  <si>
    <t xml:space="preserve"> 0.16986415904025032</t>
  </si>
  <si>
    <t>0.8066783831282952</t>
  </si>
  <si>
    <t xml:space="preserve"> 0.16803872549187704</t>
  </si>
  <si>
    <t>0.7855887521968365</t>
  </si>
  <si>
    <t xml:space="preserve"> 0.16620711450340775</t>
  </si>
  <si>
    <t>0.7680140597539542</t>
  </si>
  <si>
    <t xml:space="preserve"> 0.16438785839513048</t>
  </si>
  <si>
    <t>0.7451669595782073</t>
  </si>
  <si>
    <t xml:space="preserve"> 0.16430755167388222</t>
  </si>
  <si>
    <t>0.7240773286467487</t>
  </si>
  <si>
    <t xml:space="preserve"> 0.16423342239272998</t>
  </si>
  <si>
    <t>0.7047451669595782</t>
  </si>
  <si>
    <t xml:space="preserve"> 0.16416547055167385</t>
  </si>
  <si>
    <t xml:space="preserve"> 0.16410369615071363</t>
  </si>
  <si>
    <t>0.6748681898066783</t>
  </si>
  <si>
    <t xml:space="preserve"> 0.16406045407004155</t>
  </si>
  <si>
    <t>0.6625659050966608</t>
  </si>
  <si>
    <t xml:space="preserve"> 0.16401721198936936</t>
  </si>
  <si>
    <t xml:space="preserve"> 0.16572527417591842</t>
  </si>
  <si>
    <t xml:space="preserve"> 0.1656696772150542</t>
  </si>
  <si>
    <t>0.6203866432337434</t>
  </si>
  <si>
    <t xml:space="preserve"> 0.16562643513438213</t>
  </si>
  <si>
    <t>0.6045694200351494</t>
  </si>
  <si>
    <t xml:space="preserve"> 0.16732831988083496</t>
  </si>
  <si>
    <t xml:space="preserve"> 0.16901784974709588</t>
  </si>
  <si>
    <t xml:space="preserve"> 0.16896225278623167</t>
  </si>
  <si>
    <t>0.5518453427065027</t>
  </si>
  <si>
    <t xml:space="preserve"> 0.1706579600925886</t>
  </si>
  <si>
    <t>0.5360281195079086</t>
  </si>
  <si>
    <t xml:space="preserve"> 0.17235984483904143</t>
  </si>
  <si>
    <t>0.5184534270650264</t>
  </si>
  <si>
    <t xml:space="preserve"> 0.17405555214539836</t>
  </si>
  <si>
    <t>0.5008787346221442</t>
  </si>
  <si>
    <t xml:space="preserve"> 0.1757512594517554</t>
  </si>
  <si>
    <t xml:space="preserve"> 0.1774346118779202</t>
  </si>
  <si>
    <t>0.46045694200351506</t>
  </si>
  <si>
    <t xml:space="preserve"> 0.17912414174418112</t>
  </si>
  <si>
    <t>0.4411247803163444</t>
  </si>
  <si>
    <t xml:space="preserve"> 0.18081367161044193</t>
  </si>
  <si>
    <t>0.4270650263620387</t>
  </si>
  <si>
    <t xml:space="preserve"> 0.18252173379699088</t>
  </si>
  <si>
    <t xml:space="preserve"> 0.18420508622315568</t>
  </si>
  <si>
    <t>0.3884007029876977</t>
  </si>
  <si>
    <t xml:space="preserve"> 0.1859007935295125</t>
  </si>
  <si>
    <t>0.36906854130052724</t>
  </si>
  <si>
    <t xml:space="preserve"> 0.18759032339577353</t>
  </si>
  <si>
    <t>0.3497363796133568</t>
  </si>
  <si>
    <t xml:space="preserve"> 0.18927985326203434</t>
  </si>
  <si>
    <t>0.33040421792618635</t>
  </si>
  <si>
    <t xml:space="preserve"> 0.19096938312829514</t>
  </si>
  <si>
    <t xml:space="preserve"> 0.19090760872733503</t>
  </si>
  <si>
    <t>0.2952548330404218</t>
  </si>
  <si>
    <t xml:space="preserve"> 0.1908458343263748</t>
  </si>
  <si>
    <t>0.28295254833040423</t>
  </si>
  <si>
    <t xml:space="preserve"> 0.19080259224570273</t>
  </si>
  <si>
    <t xml:space="preserve"> 0.1907408178447425</t>
  </si>
  <si>
    <t>0.24604569420035155</t>
  </si>
  <si>
    <t xml:space="preserve"> 0.19243034771100354</t>
  </si>
  <si>
    <t>0.2337434094903339</t>
  </si>
  <si>
    <t xml:space="preserve"> 0.19238710563033135</t>
  </si>
  <si>
    <t xml:space="preserve"> 0.19233150866946724</t>
  </si>
  <si>
    <t>0.2003514938488577</t>
  </si>
  <si>
    <t xml:space="preserve"> 0.19226973426850702</t>
  </si>
  <si>
    <t>0.18980667838312826</t>
  </si>
  <si>
    <t xml:space="preserve"> 0.19223266962793095</t>
  </si>
  <si>
    <t>0.1739894551845343</t>
  </si>
  <si>
    <t xml:space="preserve"> 0.19217707266706674</t>
  </si>
  <si>
    <t>0.1616871704745167</t>
  </si>
  <si>
    <t xml:space="preserve"> 0.1903763488790775</t>
  </si>
  <si>
    <t>0.15114235500878737</t>
  </si>
  <si>
    <t xml:space="preserve"> 0.19033928423850133</t>
  </si>
  <si>
    <t>0.13884007029876977</t>
  </si>
  <si>
    <t xml:space="preserve"> 0.1885385604505122</t>
  </si>
  <si>
    <t>0.12478031634446396</t>
  </si>
  <si>
    <t xml:space="preserve"> 0.18673165922242696</t>
  </si>
  <si>
    <t>0.11423550087873463</t>
  </si>
  <si>
    <t xml:space="preserve"> 0.18493711287453374</t>
  </si>
  <si>
    <t>0.1036906854130053</t>
  </si>
  <si>
    <t xml:space="preserve"> 0.18314256652664063</t>
  </si>
  <si>
    <t xml:space="preserve"> 0.17956582871104632</t>
  </si>
  <si>
    <t xml:space="preserve"> 0.17601380065583616</t>
  </si>
  <si>
    <t xml:space="preserve"> 0.17070429089330863</t>
  </si>
  <si>
    <t xml:space="preserve"> 0.1671584402781945</t>
  </si>
  <si>
    <t xml:space="preserve"> 0.16360641222298433</t>
  </si>
  <si>
    <t xml:space="preserve"> 0.15830307990055303</t>
  </si>
  <si>
    <t xml:space="preserve"> 0.15300592501821753</t>
  </si>
  <si>
    <t>0.022847100175746926</t>
  </si>
  <si>
    <t xml:space="preserve"> 0.1459512884285653</t>
  </si>
  <si>
    <t xml:space="preserve"> 0.13889047439881697</t>
  </si>
  <si>
    <t xml:space="preserve"> 0.1335994969565777</t>
  </si>
  <si>
    <t xml:space="preserve"> 0.13006600122165535</t>
  </si>
  <si>
    <t xml:space="preserve"> 0.12302371951219515</t>
  </si>
  <si>
    <t>AoA = 4.75 deg</t>
  </si>
  <si>
    <t>LE to lower surface to TE</t>
  </si>
  <si>
    <t>to upper surface to LE</t>
  </si>
  <si>
    <t>TE to upper surface to LE</t>
  </si>
  <si>
    <t>to lower surface to TE</t>
  </si>
  <si>
    <t>JavaFoil coords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</si>
</sst>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471715</xdr:colOff>
      <xdr:row>2</xdr:row>
      <xdr:rowOff>181428</xdr:rowOff>
    </xdr:from>
    <xdr:to>
      <xdr:col>30</xdr:col>
      <xdr:colOff>669733</xdr:colOff>
      <xdr:row>50</xdr:row>
      <xdr:rowOff>111896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1FD454-BBC3-8C2A-F52A-6367524F8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0572" y="580571"/>
          <a:ext cx="10430590" cy="9509896"/>
        </a:xfrm>
        <a:prstGeom prst="rect">
          <a:avLst/>
        </a:prstGeom>
      </xdr:spPr>
    </xdr:pic>
    <xdr:clientData/>
  </xdr:twoCellAnchor>
  <xdr:twoCellAnchor editAs="oneCell">
    <xdr:from>
      <xdr:col>31</xdr:col>
      <xdr:colOff>150000</xdr:colOff>
      <xdr:row>2</xdr:row>
      <xdr:rowOff>41141</xdr:rowOff>
    </xdr:from>
    <xdr:to>
      <xdr:col>43</xdr:col>
      <xdr:colOff>328967</xdr:colOff>
      <xdr:row>49</xdr:row>
      <xdr:rowOff>184004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8C7DA6-BDEC-1609-229B-D470F62F4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4143" y="440284"/>
          <a:ext cx="10411538" cy="9522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D42C-A84B-3149-A9F3-BEC1EF396B67}">
  <dimension ref="A1:U162"/>
  <sheetViews>
    <sheetView tabSelected="1" topLeftCell="T7" zoomScale="57" workbookViewId="0">
      <selection activeCell="O37" sqref="O37"/>
    </sheetView>
  </sheetViews>
  <sheetFormatPr defaultColWidth="11.19921875" defaultRowHeight="15.6" x14ac:dyDescent="0.3"/>
  <sheetData>
    <row r="1" spans="1:21" x14ac:dyDescent="0.3">
      <c r="A1">
        <v>-1.757469E-3</v>
      </c>
      <c r="B1" s="1" t="s">
        <v>0</v>
      </c>
      <c r="D1" t="s">
        <v>1</v>
      </c>
      <c r="E1" t="s">
        <v>2</v>
      </c>
      <c r="K1">
        <f t="shared" ref="K1:K32" si="0">A1-$A$1</f>
        <v>0</v>
      </c>
      <c r="L1">
        <f t="shared" ref="L1:L32" si="1">B1-$B$1</f>
        <v>0</v>
      </c>
      <c r="P1">
        <v>0.99999999975571097</v>
      </c>
      <c r="Q1">
        <v>8.4359121951220015E-2</v>
      </c>
      <c r="U1" t="s">
        <v>233</v>
      </c>
    </row>
    <row r="2" spans="1:21" x14ac:dyDescent="0.3">
      <c r="A2">
        <v>-1.757469E-3</v>
      </c>
      <c r="B2" s="1" t="s">
        <v>3</v>
      </c>
      <c r="K2">
        <f t="shared" si="0"/>
        <v>0</v>
      </c>
      <c r="L2">
        <f t="shared" si="1"/>
        <v>-5.2724451219509916E-3</v>
      </c>
      <c r="P2">
        <v>0.99824253051142298</v>
      </c>
      <c r="Q2">
        <v>9.1382871340392011E-2</v>
      </c>
    </row>
    <row r="3" spans="1:21" x14ac:dyDescent="0.3">
      <c r="A3">
        <v>-1.757469E-3</v>
      </c>
      <c r="B3" s="1" t="s">
        <v>4</v>
      </c>
      <c r="G3" t="s">
        <v>5</v>
      </c>
      <c r="J3" t="s">
        <v>6</v>
      </c>
      <c r="K3">
        <f t="shared" si="0"/>
        <v>0</v>
      </c>
      <c r="L3">
        <f t="shared" si="1"/>
        <v>-8.7874085365849952E-3</v>
      </c>
      <c r="P3">
        <v>0.98945518428998191</v>
      </c>
      <c r="Q3">
        <v>8.7837020725278006E-2</v>
      </c>
    </row>
    <row r="4" spans="1:21" x14ac:dyDescent="0.3">
      <c r="A4">
        <v>-1.757469E-3</v>
      </c>
      <c r="B4" s="1" t="s">
        <v>7</v>
      </c>
      <c r="K4">
        <f t="shared" si="0"/>
        <v>0</v>
      </c>
      <c r="L4">
        <f t="shared" si="1"/>
        <v>-1.2302371951218999E-2</v>
      </c>
      <c r="N4" t="s">
        <v>238</v>
      </c>
      <c r="P4">
        <v>0.973637961091388</v>
      </c>
      <c r="Q4">
        <v>8.2508978642462996E-2</v>
      </c>
    </row>
    <row r="5" spans="1:21" x14ac:dyDescent="0.3">
      <c r="A5">
        <v>-1.757469E-3</v>
      </c>
      <c r="B5" s="1" t="s">
        <v>8</v>
      </c>
      <c r="F5" t="s">
        <v>234</v>
      </c>
      <c r="K5">
        <f t="shared" si="0"/>
        <v>0</v>
      </c>
      <c r="L5">
        <f t="shared" si="1"/>
        <v>-1.757481707316999E-2</v>
      </c>
      <c r="N5" t="s">
        <v>236</v>
      </c>
      <c r="P5">
        <v>0.95782073789279398</v>
      </c>
      <c r="Q5">
        <v>7.7180936559647015E-2</v>
      </c>
    </row>
    <row r="6" spans="1:21" x14ac:dyDescent="0.3">
      <c r="A6">
        <v>-1.757469E-3</v>
      </c>
      <c r="B6">
        <v>9.4897835E-2</v>
      </c>
      <c r="F6" t="s">
        <v>235</v>
      </c>
      <c r="K6">
        <f t="shared" si="0"/>
        <v>0</v>
      </c>
      <c r="L6">
        <f t="shared" si="1"/>
        <v>-2.2847261950146996E-2</v>
      </c>
      <c r="N6" t="s">
        <v>237</v>
      </c>
      <c r="P6">
        <v>0.94200351469419996</v>
      </c>
      <c r="Q6">
        <v>7.3610376184148993E-2</v>
      </c>
    </row>
    <row r="7" spans="1:21" x14ac:dyDescent="0.3">
      <c r="A7">
        <v>0</v>
      </c>
      <c r="B7">
        <v>8.9631566999999995E-2</v>
      </c>
      <c r="K7">
        <f t="shared" si="0"/>
        <v>1.757469E-3</v>
      </c>
      <c r="L7">
        <f t="shared" si="1"/>
        <v>-2.8113529950147001E-2</v>
      </c>
      <c r="P7">
        <v>0.92618629149560594</v>
      </c>
      <c r="Q7">
        <v>7.0039815808649999E-2</v>
      </c>
    </row>
    <row r="8" spans="1:21" x14ac:dyDescent="0.3">
      <c r="A8">
        <v>3.514938E-3</v>
      </c>
      <c r="B8">
        <v>8.4371477E-2</v>
      </c>
      <c r="K8">
        <f t="shared" si="0"/>
        <v>5.2724069999999998E-3</v>
      </c>
      <c r="L8">
        <f t="shared" si="1"/>
        <v>-3.3373619950146996E-2</v>
      </c>
      <c r="P8">
        <v>0.90861159899999999</v>
      </c>
      <c r="Q8">
        <v>6.4705596285739006E-2</v>
      </c>
    </row>
    <row r="9" spans="1:21" x14ac:dyDescent="0.3">
      <c r="A9">
        <v>7.0298770000000003E-3</v>
      </c>
      <c r="B9">
        <v>7.9111387000000005E-2</v>
      </c>
      <c r="K9">
        <f t="shared" si="0"/>
        <v>8.7873459999999997E-3</v>
      </c>
      <c r="L9">
        <f t="shared" si="1"/>
        <v>-3.8633709950146991E-2</v>
      </c>
      <c r="P9">
        <v>0.88927943736555293</v>
      </c>
      <c r="Q9">
        <v>6.1122681030049017E-2</v>
      </c>
    </row>
    <row r="10" spans="1:21" x14ac:dyDescent="0.3">
      <c r="A10" s="1" t="s">
        <v>9</v>
      </c>
      <c r="B10">
        <v>7.3851295999999997E-2</v>
      </c>
      <c r="K10">
        <f t="shared" si="0"/>
        <v>1.2302284465729299E-2</v>
      </c>
      <c r="L10">
        <f t="shared" si="1"/>
        <v>-4.3893800950146999E-2</v>
      </c>
      <c r="P10">
        <v>0.87346221416695891</v>
      </c>
      <c r="Q10">
        <v>5.7552120654549996E-2</v>
      </c>
    </row>
    <row r="11" spans="1:21" x14ac:dyDescent="0.3">
      <c r="A11" s="1" t="s">
        <v>10</v>
      </c>
      <c r="B11">
        <v>7.0348688000000006E-2</v>
      </c>
      <c r="K11">
        <f t="shared" si="0"/>
        <v>1.58172229543058E-2</v>
      </c>
      <c r="L11">
        <f t="shared" si="1"/>
        <v>-4.739640895014699E-2</v>
      </c>
      <c r="P11">
        <v>0.85940246021265299</v>
      </c>
      <c r="Q11">
        <v>5.5745219426465001E-2</v>
      </c>
    </row>
    <row r="12" spans="1:21" x14ac:dyDescent="0.3">
      <c r="A12">
        <v>1.7574691999999999E-2</v>
      </c>
      <c r="B12">
        <v>6.6846079000000003E-2</v>
      </c>
      <c r="K12">
        <f t="shared" si="0"/>
        <v>1.9332161E-2</v>
      </c>
      <c r="L12">
        <f t="shared" si="1"/>
        <v>-5.0899017950146994E-2</v>
      </c>
      <c r="P12">
        <v>0.84358523701405896</v>
      </c>
      <c r="Q12">
        <v>5.3932140758283995E-2</v>
      </c>
    </row>
    <row r="13" spans="1:21" x14ac:dyDescent="0.3">
      <c r="A13" s="1" t="s">
        <v>11</v>
      </c>
      <c r="B13">
        <v>6.3343470999999998E-2</v>
      </c>
      <c r="K13">
        <f t="shared" si="0"/>
        <v>2.2847099931458701E-2</v>
      </c>
      <c r="L13">
        <f t="shared" si="1"/>
        <v>-5.4401625950146998E-2</v>
      </c>
      <c r="P13">
        <v>0.82776801381546494</v>
      </c>
      <c r="Q13">
        <v>5.2119062090103016E-2</v>
      </c>
    </row>
    <row r="14" spans="1:21" x14ac:dyDescent="0.3">
      <c r="A14" s="1" t="s">
        <v>12</v>
      </c>
      <c r="B14" s="1" t="s">
        <v>13</v>
      </c>
      <c r="K14">
        <f t="shared" si="0"/>
        <v>2.6362038420035101E-2</v>
      </c>
      <c r="L14">
        <f t="shared" si="1"/>
        <v>-5.7904234740022396E-2</v>
      </c>
      <c r="P14">
        <v>0.80843585212829494</v>
      </c>
      <c r="Q14">
        <v>5.0293628541730015E-2</v>
      </c>
    </row>
    <row r="15" spans="1:21" x14ac:dyDescent="0.3">
      <c r="A15">
        <v>2.9876976999999999E-2</v>
      </c>
      <c r="B15">
        <v>5.6344431E-2</v>
      </c>
      <c r="K15">
        <f t="shared" si="0"/>
        <v>3.1634445999999997E-2</v>
      </c>
      <c r="L15">
        <f t="shared" si="1"/>
        <v>-6.1400665950146996E-2</v>
      </c>
      <c r="P15">
        <v>0.78734622119683595</v>
      </c>
      <c r="Q15">
        <v>4.8462017553260003E-2</v>
      </c>
    </row>
    <row r="16" spans="1:21" x14ac:dyDescent="0.3">
      <c r="A16">
        <v>3.3391916000000001E-2</v>
      </c>
      <c r="B16">
        <v>5.2841823000000003E-2</v>
      </c>
      <c r="K16">
        <f t="shared" si="0"/>
        <v>3.5149384999999998E-2</v>
      </c>
      <c r="L16">
        <f t="shared" si="1"/>
        <v>-6.4903273950147E-2</v>
      </c>
      <c r="P16">
        <v>0.76977152875395394</v>
      </c>
      <c r="Q16">
        <v>4.6642761444983014E-2</v>
      </c>
    </row>
    <row r="17" spans="1:17" x14ac:dyDescent="0.3">
      <c r="A17" s="1" t="s">
        <v>14</v>
      </c>
      <c r="B17" s="1" t="s">
        <v>15</v>
      </c>
      <c r="K17">
        <f t="shared" si="0"/>
        <v>4.0421792374340897E-2</v>
      </c>
      <c r="L17">
        <f t="shared" si="1"/>
        <v>-6.839970546315649E-2</v>
      </c>
      <c r="P17">
        <v>0.74692442857820696</v>
      </c>
      <c r="Q17">
        <v>4.6562454723735006E-2</v>
      </c>
    </row>
    <row r="18" spans="1:17" x14ac:dyDescent="0.3">
      <c r="A18">
        <v>4.3936731E-2</v>
      </c>
      <c r="B18">
        <v>4.5848960000000001E-2</v>
      </c>
      <c r="K18">
        <f t="shared" si="0"/>
        <v>4.5694199999999997E-2</v>
      </c>
      <c r="L18">
        <f t="shared" si="1"/>
        <v>-7.1896136950146988E-2</v>
      </c>
      <c r="P18">
        <v>0.72583479764674796</v>
      </c>
      <c r="Q18">
        <v>4.648832544258201E-2</v>
      </c>
    </row>
    <row r="19" spans="1:17" x14ac:dyDescent="0.3">
      <c r="A19" s="1" t="s">
        <v>16</v>
      </c>
      <c r="B19">
        <v>4.2364883999999998E-2</v>
      </c>
      <c r="K19">
        <f t="shared" si="0"/>
        <v>5.4481546328646699E-2</v>
      </c>
      <c r="L19">
        <f t="shared" si="1"/>
        <v>-7.5380212950146991E-2</v>
      </c>
      <c r="P19">
        <v>0.70650263595957796</v>
      </c>
      <c r="Q19">
        <v>4.6420373601525997E-2</v>
      </c>
    </row>
    <row r="20" spans="1:17" x14ac:dyDescent="0.3">
      <c r="A20" s="1" t="s">
        <v>17</v>
      </c>
      <c r="B20">
        <v>3.8880808000000003E-2</v>
      </c>
      <c r="K20">
        <f t="shared" si="0"/>
        <v>6.3268892550087802E-2</v>
      </c>
      <c r="L20">
        <f t="shared" si="1"/>
        <v>-7.8864288950146993E-2</v>
      </c>
      <c r="P20">
        <v>0.6889279439999999</v>
      </c>
      <c r="Q20">
        <v>4.6358599200565995E-2</v>
      </c>
    </row>
    <row r="21" spans="1:17" x14ac:dyDescent="0.3">
      <c r="A21">
        <v>6.8541300999999999E-2</v>
      </c>
      <c r="B21">
        <v>3.7148036000000002E-2</v>
      </c>
      <c r="K21">
        <f t="shared" si="0"/>
        <v>7.0298769999999997E-2</v>
      </c>
      <c r="L21">
        <f t="shared" si="1"/>
        <v>-8.0597060950146987E-2</v>
      </c>
      <c r="P21">
        <v>0.67662565880667791</v>
      </c>
      <c r="Q21">
        <v>4.6315357119893999E-2</v>
      </c>
    </row>
    <row r="22" spans="1:17" x14ac:dyDescent="0.3">
      <c r="A22">
        <v>7.7328647E-2</v>
      </c>
      <c r="B22">
        <v>3.366396E-2</v>
      </c>
      <c r="K22">
        <f t="shared" si="0"/>
        <v>7.9086115999999998E-2</v>
      </c>
      <c r="L22">
        <f t="shared" si="1"/>
        <v>-8.408113695014699E-2</v>
      </c>
      <c r="P22">
        <v>0.66432337409665998</v>
      </c>
      <c r="Q22">
        <v>4.6272115039222003E-2</v>
      </c>
    </row>
    <row r="23" spans="1:17" x14ac:dyDescent="0.3">
      <c r="A23">
        <v>8.4358524000000004E-2</v>
      </c>
      <c r="B23">
        <v>3.1931187999999999E-2</v>
      </c>
      <c r="K23">
        <f t="shared" si="0"/>
        <v>8.6115993000000002E-2</v>
      </c>
      <c r="L23">
        <f t="shared" si="1"/>
        <v>-8.5813908950146997E-2</v>
      </c>
      <c r="P23">
        <v>0.65026361999999993</v>
      </c>
      <c r="Q23">
        <v>4.7980177225771012E-2</v>
      </c>
    </row>
    <row r="24" spans="1:17" x14ac:dyDescent="0.3">
      <c r="A24">
        <v>9.4903339000000003E-2</v>
      </c>
      <c r="B24" s="1" t="s">
        <v>18</v>
      </c>
      <c r="K24">
        <f t="shared" si="0"/>
        <v>9.6660808000000001E-2</v>
      </c>
      <c r="L24">
        <f t="shared" si="1"/>
        <v>-8.92918078678889E-2</v>
      </c>
      <c r="P24">
        <v>0.63444639699999994</v>
      </c>
      <c r="Q24">
        <v>4.7924580264906994E-2</v>
      </c>
    </row>
    <row r="25" spans="1:17" x14ac:dyDescent="0.3">
      <c r="A25" s="1" t="s">
        <v>19</v>
      </c>
      <c r="B25">
        <v>2.6739049000000001E-2</v>
      </c>
      <c r="K25">
        <f t="shared" si="0"/>
        <v>0.108963092901581</v>
      </c>
      <c r="L25">
        <f t="shared" si="1"/>
        <v>-9.1006047950146995E-2</v>
      </c>
      <c r="P25">
        <v>0.622144112233743</v>
      </c>
      <c r="Q25">
        <v>4.7881338184234998E-2</v>
      </c>
    </row>
    <row r="26" spans="1:17" x14ac:dyDescent="0.3">
      <c r="A26" s="1" t="s">
        <v>20</v>
      </c>
      <c r="B26" s="1" t="s">
        <v>21</v>
      </c>
      <c r="K26">
        <f t="shared" si="0"/>
        <v>0.12302284685588699</v>
      </c>
      <c r="L26">
        <f t="shared" si="1"/>
        <v>-9.2714109681082901E-2</v>
      </c>
      <c r="P26">
        <v>0.60632688903514897</v>
      </c>
      <c r="Q26">
        <v>4.9583222930686996E-2</v>
      </c>
    </row>
    <row r="27" spans="1:17" x14ac:dyDescent="0.3">
      <c r="A27" s="1" t="s">
        <v>22</v>
      </c>
      <c r="B27">
        <v>2.3310569999999999E-2</v>
      </c>
      <c r="K27">
        <f t="shared" si="0"/>
        <v>0.13356766232161602</v>
      </c>
      <c r="L27">
        <f t="shared" si="1"/>
        <v>-9.4434526950146994E-2</v>
      </c>
      <c r="P27">
        <v>0.58699472734797797</v>
      </c>
      <c r="Q27">
        <v>5.1272752796947998E-2</v>
      </c>
    </row>
    <row r="28" spans="1:17" x14ac:dyDescent="0.3">
      <c r="A28" s="1" t="s">
        <v>23</v>
      </c>
      <c r="B28" s="1" t="s">
        <v>24</v>
      </c>
      <c r="K28">
        <f t="shared" si="0"/>
        <v>0.14762741627592202</v>
      </c>
      <c r="L28">
        <f t="shared" si="1"/>
        <v>-9.6142588934372691E-2</v>
      </c>
      <c r="P28">
        <v>0.57117750414938395</v>
      </c>
      <c r="Q28">
        <v>5.1217155836084008E-2</v>
      </c>
    </row>
    <row r="29" spans="1:17" x14ac:dyDescent="0.3">
      <c r="A29" s="1" t="s">
        <v>25</v>
      </c>
      <c r="B29" s="1" t="s">
        <v>26</v>
      </c>
      <c r="K29">
        <f t="shared" si="0"/>
        <v>0.15817223174165201</v>
      </c>
      <c r="L29">
        <f t="shared" si="1"/>
        <v>-9.7863006001113598E-2</v>
      </c>
      <c r="P29">
        <v>0.55360281170650194</v>
      </c>
      <c r="Q29">
        <v>5.2912863142440994E-2</v>
      </c>
    </row>
    <row r="30" spans="1:17" x14ac:dyDescent="0.3">
      <c r="A30" s="1" t="s">
        <v>27</v>
      </c>
      <c r="B30" s="1" t="s">
        <v>28</v>
      </c>
      <c r="K30">
        <f t="shared" si="0"/>
        <v>0.16871704720738101</v>
      </c>
      <c r="L30">
        <f t="shared" si="1"/>
        <v>-9.9583423067854698E-2</v>
      </c>
      <c r="P30">
        <v>0.53778558850790792</v>
      </c>
      <c r="Q30">
        <v>5.4614747888893991E-2</v>
      </c>
    </row>
    <row r="31" spans="1:17" x14ac:dyDescent="0.3">
      <c r="A31" s="1" t="s">
        <v>29</v>
      </c>
      <c r="B31" s="1" t="s">
        <v>30</v>
      </c>
      <c r="K31">
        <f t="shared" si="0"/>
        <v>0.17926186267311001</v>
      </c>
      <c r="L31">
        <f t="shared" si="1"/>
        <v>-9.9546358427278603E-2</v>
      </c>
      <c r="P31">
        <v>0.52021089606502591</v>
      </c>
      <c r="Q31">
        <v>5.6310455195251005E-2</v>
      </c>
    </row>
    <row r="32" spans="1:17" x14ac:dyDescent="0.3">
      <c r="A32" s="1" t="s">
        <v>31</v>
      </c>
      <c r="B32">
        <v>1.8235802999999998E-2</v>
      </c>
      <c r="K32">
        <f t="shared" si="0"/>
        <v>0.18980667813884</v>
      </c>
      <c r="L32">
        <f t="shared" si="1"/>
        <v>-9.9509293950147001E-2</v>
      </c>
      <c r="P32">
        <v>0.50263620362214401</v>
      </c>
      <c r="Q32">
        <v>5.8006162501607991E-2</v>
      </c>
    </row>
    <row r="33" spans="1:17" x14ac:dyDescent="0.3">
      <c r="A33" s="1" t="s">
        <v>32</v>
      </c>
      <c r="B33" s="1" t="s">
        <v>33</v>
      </c>
      <c r="K33">
        <f t="shared" ref="K33:K64" si="2">A33-$A$1</f>
        <v>0.20035149360456903</v>
      </c>
      <c r="L33">
        <f t="shared" ref="L33:L64" si="3">B33-$B$1</f>
        <v>-0.1012297108534434</v>
      </c>
      <c r="P33">
        <v>0.48154657269068502</v>
      </c>
      <c r="Q33">
        <v>5.968951492777301E-2</v>
      </c>
    </row>
    <row r="34" spans="1:17" x14ac:dyDescent="0.3">
      <c r="A34" s="1" t="s">
        <v>34</v>
      </c>
      <c r="B34" s="1" t="s">
        <v>35</v>
      </c>
      <c r="K34">
        <f t="shared" si="2"/>
        <v>0.21089630907029802</v>
      </c>
      <c r="L34">
        <f t="shared" si="3"/>
        <v>-0.1011926462128673</v>
      </c>
      <c r="P34">
        <v>0.46221441100351501</v>
      </c>
      <c r="Q34">
        <v>6.1379044794034013E-2</v>
      </c>
    </row>
    <row r="35" spans="1:17" x14ac:dyDescent="0.3">
      <c r="A35" s="1" t="s">
        <v>36</v>
      </c>
      <c r="B35">
        <v>1.6583338E-2</v>
      </c>
      <c r="K35">
        <f t="shared" si="2"/>
        <v>0.219683655291739</v>
      </c>
      <c r="L35">
        <f t="shared" si="3"/>
        <v>-0.10116175895014699</v>
      </c>
      <c r="P35">
        <v>0.44288224931634401</v>
      </c>
      <c r="Q35">
        <v>6.3068574660294016E-2</v>
      </c>
    </row>
    <row r="36" spans="1:17" x14ac:dyDescent="0.3">
      <c r="A36" s="1" t="s">
        <v>37</v>
      </c>
      <c r="B36">
        <v>1.6626579999999998E-2</v>
      </c>
      <c r="K36">
        <f t="shared" si="2"/>
        <v>0.23198594000175701</v>
      </c>
      <c r="L36">
        <f t="shared" si="3"/>
        <v>-0.10111851695014699</v>
      </c>
      <c r="P36">
        <v>0.42882249536203804</v>
      </c>
      <c r="Q36">
        <v>6.4776636846842997E-2</v>
      </c>
    </row>
    <row r="37" spans="1:17" x14ac:dyDescent="0.3">
      <c r="A37" s="1" t="s">
        <v>38</v>
      </c>
      <c r="B37">
        <v>1.6669822000000001E-2</v>
      </c>
      <c r="K37">
        <f t="shared" si="2"/>
        <v>0.244288224711775</v>
      </c>
      <c r="L37">
        <f t="shared" si="3"/>
        <v>-0.101075274950147</v>
      </c>
      <c r="P37">
        <v>0.40773286443057899</v>
      </c>
      <c r="Q37">
        <v>6.6459989273008016E-2</v>
      </c>
    </row>
    <row r="38" spans="1:17" x14ac:dyDescent="0.3">
      <c r="A38" s="1" t="s">
        <v>39</v>
      </c>
      <c r="B38">
        <v>1.6713064E-2</v>
      </c>
      <c r="K38">
        <f t="shared" si="2"/>
        <v>0.25659050942179201</v>
      </c>
      <c r="L38">
        <f t="shared" si="3"/>
        <v>-0.101032032950147</v>
      </c>
      <c r="P38">
        <v>0.39015817198769703</v>
      </c>
      <c r="Q38">
        <v>6.8155696579365002E-2</v>
      </c>
    </row>
    <row r="39" spans="1:17" x14ac:dyDescent="0.3">
      <c r="A39">
        <v>0.26537785600000002</v>
      </c>
      <c r="B39" s="1" t="s">
        <v>40</v>
      </c>
      <c r="K39">
        <f t="shared" si="2"/>
        <v>0.26713532500000003</v>
      </c>
      <c r="L39">
        <f t="shared" si="3"/>
        <v>-0.10099496812979469</v>
      </c>
      <c r="P39">
        <v>0.37082601030052703</v>
      </c>
      <c r="Q39">
        <v>6.9845226445626005E-2</v>
      </c>
    </row>
    <row r="40" spans="1:17" x14ac:dyDescent="0.3">
      <c r="A40" s="1" t="s">
        <v>41</v>
      </c>
      <c r="B40" s="1" t="s">
        <v>42</v>
      </c>
      <c r="K40">
        <f t="shared" si="2"/>
        <v>0.277680140353251</v>
      </c>
      <c r="L40">
        <f t="shared" si="3"/>
        <v>-0.1009579034892186</v>
      </c>
      <c r="P40">
        <v>0.35149384861335603</v>
      </c>
      <c r="Q40">
        <v>7.1534756311887007E-2</v>
      </c>
    </row>
    <row r="41" spans="1:17" x14ac:dyDescent="0.3">
      <c r="A41" s="1" t="s">
        <v>43</v>
      </c>
      <c r="B41" s="1" t="s">
        <v>44</v>
      </c>
      <c r="K41">
        <f t="shared" si="2"/>
        <v>0.28822495581898</v>
      </c>
      <c r="L41">
        <f t="shared" si="3"/>
        <v>-0.1009208388486425</v>
      </c>
      <c r="P41">
        <v>0.33216168692618603</v>
      </c>
      <c r="Q41">
        <v>7.322428617814801E-2</v>
      </c>
    </row>
    <row r="42" spans="1:17" x14ac:dyDescent="0.3">
      <c r="A42" s="1" t="s">
        <v>45</v>
      </c>
      <c r="B42" s="1" t="s">
        <v>46</v>
      </c>
      <c r="K42">
        <f t="shared" si="2"/>
        <v>0.30404217901757402</v>
      </c>
      <c r="L42">
        <f t="shared" si="3"/>
        <v>-0.1008652418877784</v>
      </c>
      <c r="P42">
        <v>0.31458699400000001</v>
      </c>
      <c r="Q42">
        <v>7.3162511777188008E-2</v>
      </c>
    </row>
    <row r="43" spans="1:17" x14ac:dyDescent="0.3">
      <c r="A43" s="1" t="s">
        <v>47</v>
      </c>
      <c r="B43">
        <v>1.8686755999999999E-2</v>
      </c>
      <c r="K43">
        <f t="shared" si="2"/>
        <v>0.31810193297188</v>
      </c>
      <c r="L43">
        <f t="shared" si="3"/>
        <v>-9.9058340950146997E-2</v>
      </c>
      <c r="P43">
        <v>0.29701230204042101</v>
      </c>
      <c r="Q43">
        <v>7.3100737376227007E-2</v>
      </c>
    </row>
    <row r="44" spans="1:17" x14ac:dyDescent="0.3">
      <c r="A44" s="1" t="s">
        <v>48</v>
      </c>
      <c r="B44">
        <v>1.8729998000000001E-2</v>
      </c>
      <c r="K44">
        <f t="shared" si="2"/>
        <v>0.33040421768189804</v>
      </c>
      <c r="L44">
        <f t="shared" si="3"/>
        <v>-9.9015098950146999E-2</v>
      </c>
      <c r="P44">
        <v>0.28471001733040402</v>
      </c>
      <c r="Q44">
        <v>7.3057495295555011E-2</v>
      </c>
    </row>
    <row r="45" spans="1:17" x14ac:dyDescent="0.3">
      <c r="A45" s="1" t="s">
        <v>49</v>
      </c>
      <c r="B45" s="1" t="s">
        <v>50</v>
      </c>
      <c r="K45">
        <f t="shared" si="2"/>
        <v>0.34270650239191502</v>
      </c>
      <c r="L45">
        <f t="shared" si="3"/>
        <v>-9.7214374791031705E-2</v>
      </c>
      <c r="P45">
        <v>0.26713532500000003</v>
      </c>
      <c r="Q45">
        <v>7.2995720894595009E-2</v>
      </c>
    </row>
    <row r="46" spans="1:17" x14ac:dyDescent="0.3">
      <c r="A46" s="1" t="s">
        <v>51</v>
      </c>
      <c r="B46" s="1" t="s">
        <v>52</v>
      </c>
      <c r="K46">
        <f t="shared" si="2"/>
        <v>0.35500878710193301</v>
      </c>
      <c r="L46">
        <f t="shared" si="3"/>
        <v>-9.7171132710359598E-2</v>
      </c>
      <c r="P46">
        <v>0.24780316320035101</v>
      </c>
      <c r="Q46">
        <v>7.4685250760856012E-2</v>
      </c>
    </row>
    <row r="47" spans="1:17" x14ac:dyDescent="0.3">
      <c r="A47" s="1" t="s">
        <v>53</v>
      </c>
      <c r="B47" s="1" t="s">
        <v>54</v>
      </c>
      <c r="K47">
        <f t="shared" si="2"/>
        <v>0.36379613332337402</v>
      </c>
      <c r="L47">
        <f t="shared" si="3"/>
        <v>-9.5382763802562498E-2</v>
      </c>
      <c r="P47">
        <v>0.23550087849033302</v>
      </c>
      <c r="Q47">
        <v>7.4642008680184016E-2</v>
      </c>
    </row>
    <row r="48" spans="1:17" x14ac:dyDescent="0.3">
      <c r="A48" s="1" t="s">
        <v>55</v>
      </c>
      <c r="B48">
        <v>2.2399398000000001E-2</v>
      </c>
      <c r="K48">
        <f t="shared" si="2"/>
        <v>0.37434094878910301</v>
      </c>
      <c r="L48">
        <f t="shared" si="3"/>
        <v>-9.5345698950146995E-2</v>
      </c>
      <c r="P48">
        <v>0.219683655291739</v>
      </c>
      <c r="Q48">
        <v>7.4586411719319998E-2</v>
      </c>
    </row>
    <row r="49" spans="1:17" x14ac:dyDescent="0.3">
      <c r="A49" s="1" t="s">
        <v>56</v>
      </c>
      <c r="B49">
        <v>2.4187766999999999E-2</v>
      </c>
      <c r="K49">
        <f t="shared" si="2"/>
        <v>0.38312829501054402</v>
      </c>
      <c r="L49">
        <f t="shared" si="3"/>
        <v>-9.3557329950146997E-2</v>
      </c>
      <c r="P49">
        <v>0.20210896284885702</v>
      </c>
      <c r="Q49">
        <v>7.4524637318359996E-2</v>
      </c>
    </row>
    <row r="50" spans="1:17" x14ac:dyDescent="0.3">
      <c r="A50" s="1" t="s">
        <v>57</v>
      </c>
      <c r="B50">
        <v>2.4231009000000001E-2</v>
      </c>
      <c r="K50">
        <f t="shared" si="2"/>
        <v>0.395430579720562</v>
      </c>
      <c r="L50">
        <f t="shared" si="3"/>
        <v>-9.3514087950146998E-2</v>
      </c>
      <c r="P50">
        <v>0.19156414738312802</v>
      </c>
      <c r="Q50">
        <v>7.4487572677783012E-2</v>
      </c>
    </row>
    <row r="51" spans="1:17" x14ac:dyDescent="0.3">
      <c r="A51" s="1" t="s">
        <v>58</v>
      </c>
      <c r="B51" s="1" t="s">
        <v>59</v>
      </c>
      <c r="K51">
        <f t="shared" si="2"/>
        <v>0.40773286443057899</v>
      </c>
      <c r="L51">
        <f t="shared" si="3"/>
        <v>-9.1713364385527893E-2</v>
      </c>
      <c r="P51">
        <v>0.175746924184534</v>
      </c>
      <c r="Q51">
        <v>7.4431975716918994E-2</v>
      </c>
    </row>
    <row r="52" spans="1:17" x14ac:dyDescent="0.3">
      <c r="A52" s="1" t="s">
        <v>60</v>
      </c>
      <c r="B52" s="1" t="s">
        <v>61</v>
      </c>
      <c r="K52">
        <f t="shared" si="2"/>
        <v>0.42179261838488502</v>
      </c>
      <c r="L52">
        <f t="shared" si="3"/>
        <v>-8.990646315744269E-2</v>
      </c>
      <c r="P52">
        <v>0.16344463947451601</v>
      </c>
      <c r="Q52">
        <v>7.263125192893001E-2</v>
      </c>
    </row>
    <row r="53" spans="1:17" x14ac:dyDescent="0.3">
      <c r="A53" s="1" t="s">
        <v>62</v>
      </c>
      <c r="B53" s="1" t="s">
        <v>63</v>
      </c>
      <c r="K53">
        <f t="shared" si="2"/>
        <v>0.43409490309490301</v>
      </c>
      <c r="L53">
        <f t="shared" si="3"/>
        <v>-8.8105739369453401E-2</v>
      </c>
      <c r="P53">
        <v>0.15289982400878702</v>
      </c>
      <c r="Q53">
        <v>7.2594187288353998E-2</v>
      </c>
    </row>
    <row r="54" spans="1:17" x14ac:dyDescent="0.3">
      <c r="A54" s="1" t="s">
        <v>64</v>
      </c>
      <c r="B54" s="1" t="s">
        <v>65</v>
      </c>
      <c r="K54">
        <f t="shared" si="2"/>
        <v>0.44815465704920904</v>
      </c>
      <c r="L54">
        <f t="shared" si="3"/>
        <v>-8.6298838141368198E-2</v>
      </c>
      <c r="P54">
        <v>0.140597539298769</v>
      </c>
      <c r="Q54">
        <v>7.0793463500365014E-2</v>
      </c>
    </row>
    <row r="55" spans="1:17" x14ac:dyDescent="0.3">
      <c r="A55" s="1" t="s">
        <v>66</v>
      </c>
      <c r="B55">
        <v>3.5004463999999999E-2</v>
      </c>
      <c r="K55">
        <f t="shared" si="2"/>
        <v>0.46045694175922602</v>
      </c>
      <c r="L55">
        <f t="shared" si="3"/>
        <v>-8.2740632950146997E-2</v>
      </c>
      <c r="P55">
        <v>0.126537785344463</v>
      </c>
      <c r="Q55">
        <v>6.8986562272278992E-2</v>
      </c>
    </row>
    <row r="56" spans="1:17" x14ac:dyDescent="0.3">
      <c r="A56">
        <v>0.46924428800000001</v>
      </c>
      <c r="B56">
        <v>3.5041529000000002E-2</v>
      </c>
      <c r="K56">
        <f t="shared" si="2"/>
        <v>0.47100175700000002</v>
      </c>
      <c r="L56">
        <f t="shared" si="3"/>
        <v>-8.2703567950146994E-2</v>
      </c>
      <c r="P56">
        <v>0.115992969878734</v>
      </c>
      <c r="Q56">
        <v>6.7192015924385992E-2</v>
      </c>
    </row>
    <row r="57" spans="1:17" x14ac:dyDescent="0.3">
      <c r="A57" s="1" t="s">
        <v>67</v>
      </c>
      <c r="B57">
        <v>3.6836075000000003E-2</v>
      </c>
      <c r="K57">
        <f t="shared" si="2"/>
        <v>0.48154657269068502</v>
      </c>
      <c r="L57">
        <f t="shared" si="3"/>
        <v>-8.0909021950146987E-2</v>
      </c>
      <c r="P57">
        <v>0.10544815441300499</v>
      </c>
      <c r="Q57">
        <v>6.5397469576492992E-2</v>
      </c>
    </row>
    <row r="58" spans="1:17" x14ac:dyDescent="0.3">
      <c r="A58" s="1" t="s">
        <v>68</v>
      </c>
      <c r="B58" s="1" t="s">
        <v>69</v>
      </c>
      <c r="K58">
        <f t="shared" si="2"/>
        <v>0.49209138815641401</v>
      </c>
      <c r="L58">
        <f t="shared" si="3"/>
        <v>-7.9114475309699506E-2</v>
      </c>
      <c r="P58">
        <v>8.7873461999999999E-2</v>
      </c>
      <c r="Q58">
        <v>6.1820731760899014E-2</v>
      </c>
    </row>
    <row r="59" spans="1:17" x14ac:dyDescent="0.3">
      <c r="A59" s="1" t="s">
        <v>70</v>
      </c>
      <c r="B59">
        <v>4.0431345E-2</v>
      </c>
      <c r="K59">
        <f t="shared" si="2"/>
        <v>0.504393672866432</v>
      </c>
      <c r="L59">
        <f t="shared" si="3"/>
        <v>-7.7313751950147003E-2</v>
      </c>
      <c r="P59">
        <v>7.7328647E-2</v>
      </c>
      <c r="Q59">
        <v>5.8268703705688998E-2</v>
      </c>
    </row>
    <row r="60" spans="1:17" x14ac:dyDescent="0.3">
      <c r="A60" s="1" t="s">
        <v>71</v>
      </c>
      <c r="B60" s="1" t="s">
        <v>72</v>
      </c>
      <c r="K60">
        <f t="shared" si="2"/>
        <v>0.51845342682073792</v>
      </c>
      <c r="L60">
        <f t="shared" si="3"/>
        <v>-7.3749368586307998E-2</v>
      </c>
      <c r="P60">
        <v>6.6783831000000002E-2</v>
      </c>
      <c r="Q60">
        <v>5.2959193943160995E-2</v>
      </c>
    </row>
    <row r="61" spans="1:17" x14ac:dyDescent="0.3">
      <c r="A61" s="1" t="s">
        <v>73</v>
      </c>
      <c r="B61">
        <v>4.5796452000000001E-2</v>
      </c>
      <c r="K61">
        <f t="shared" si="2"/>
        <v>0.53075571153075496</v>
      </c>
      <c r="L61">
        <f t="shared" si="3"/>
        <v>-7.1948644950146995E-2</v>
      </c>
      <c r="P61">
        <v>5.7996485E-2</v>
      </c>
      <c r="Q61">
        <v>4.9413343328046991E-2</v>
      </c>
    </row>
    <row r="62" spans="1:17" x14ac:dyDescent="0.3">
      <c r="A62" s="1" t="s">
        <v>74</v>
      </c>
      <c r="B62" s="1" t="s">
        <v>75</v>
      </c>
      <c r="K62">
        <f t="shared" si="2"/>
        <v>0.543057996240773</v>
      </c>
      <c r="L62">
        <f t="shared" si="3"/>
        <v>-6.8390439303012598E-2</v>
      </c>
      <c r="P62">
        <v>4.7451668999999995E-2</v>
      </c>
      <c r="Q62">
        <v>4.5861315272837003E-2</v>
      </c>
    </row>
    <row r="63" spans="1:17" x14ac:dyDescent="0.3">
      <c r="A63" s="1" t="s">
        <v>76</v>
      </c>
      <c r="B63">
        <v>5.1161559000000002E-2</v>
      </c>
      <c r="K63">
        <f t="shared" si="2"/>
        <v>0.55711775019507892</v>
      </c>
      <c r="L63">
        <f t="shared" si="3"/>
        <v>-6.6583537950146987E-2</v>
      </c>
      <c r="P63">
        <v>3.8664323E-2</v>
      </c>
      <c r="Q63">
        <v>4.055798295040601E-2</v>
      </c>
    </row>
    <row r="64" spans="1:17" x14ac:dyDescent="0.3">
      <c r="A64" s="1" t="s">
        <v>77</v>
      </c>
      <c r="B64">
        <v>5.4725942E-2</v>
      </c>
      <c r="K64">
        <f t="shared" si="2"/>
        <v>0.57117750414938395</v>
      </c>
      <c r="L64">
        <f t="shared" si="3"/>
        <v>-6.3019154950146997E-2</v>
      </c>
      <c r="P64">
        <v>3.1634445999999997E-2</v>
      </c>
      <c r="Q64">
        <v>3.5260828068070002E-2</v>
      </c>
    </row>
    <row r="65" spans="1:17" x14ac:dyDescent="0.3">
      <c r="A65" s="1" t="s">
        <v>78</v>
      </c>
      <c r="B65">
        <v>5.8296502E-2</v>
      </c>
      <c r="K65">
        <f t="shared" ref="K65:K96" si="4">A65-$A$1</f>
        <v>0.58699472734797797</v>
      </c>
      <c r="L65">
        <f t="shared" ref="L65:L96" si="5">B65-$B$1</f>
        <v>-5.9448594950146996E-2</v>
      </c>
      <c r="P65">
        <v>2.4604569175746899E-2</v>
      </c>
      <c r="Q65">
        <v>2.8206191478418005E-2</v>
      </c>
    </row>
    <row r="66" spans="1:17" x14ac:dyDescent="0.3">
      <c r="A66" s="1" t="s">
        <v>79</v>
      </c>
      <c r="B66">
        <v>6.0103403E-2</v>
      </c>
      <c r="K66">
        <f t="shared" si="4"/>
        <v>0.601054481302284</v>
      </c>
      <c r="L66">
        <f t="shared" si="5"/>
        <v>-5.7641693950146997E-2</v>
      </c>
      <c r="P66">
        <v>1.58172229543058E-2</v>
      </c>
      <c r="Q66">
        <v>2.1145377448668998E-2</v>
      </c>
    </row>
    <row r="67" spans="1:17" x14ac:dyDescent="0.3">
      <c r="A67" s="1" t="s">
        <v>80</v>
      </c>
      <c r="B67">
        <v>6.3661608999999994E-2</v>
      </c>
      <c r="K67">
        <f t="shared" si="4"/>
        <v>0.61335676601230193</v>
      </c>
      <c r="L67">
        <f t="shared" si="5"/>
        <v>-5.4083487950147002E-2</v>
      </c>
      <c r="P67">
        <v>1.0544814999999999E-2</v>
      </c>
      <c r="Q67">
        <v>1.585440000643E-2</v>
      </c>
    </row>
    <row r="68" spans="1:17" x14ac:dyDescent="0.3">
      <c r="A68" s="1" t="s">
        <v>81</v>
      </c>
      <c r="B68">
        <v>6.5456155000000002E-2</v>
      </c>
      <c r="K68">
        <f t="shared" si="4"/>
        <v>0.62390158147803099</v>
      </c>
      <c r="L68">
        <f t="shared" si="5"/>
        <v>-5.2288941950146994E-2</v>
      </c>
      <c r="P68">
        <v>5.2724069999999998E-3</v>
      </c>
      <c r="Q68">
        <v>1.232090427150799E-2</v>
      </c>
    </row>
    <row r="69" spans="1:17" x14ac:dyDescent="0.3">
      <c r="A69">
        <v>0.63268892799999998</v>
      </c>
      <c r="B69">
        <v>6.9008183000000001E-2</v>
      </c>
      <c r="K69">
        <f t="shared" si="4"/>
        <v>0.63444639699999994</v>
      </c>
      <c r="L69">
        <f t="shared" si="5"/>
        <v>-4.8736913950146996E-2</v>
      </c>
      <c r="P69">
        <v>1.757469E-3</v>
      </c>
      <c r="Q69">
        <v>5.2786225620480021E-3</v>
      </c>
    </row>
    <row r="70" spans="1:17" x14ac:dyDescent="0.3">
      <c r="A70" s="1" t="s">
        <v>82</v>
      </c>
      <c r="B70">
        <v>7.0808907000000004E-2</v>
      </c>
      <c r="K70">
        <f t="shared" si="4"/>
        <v>0.64674868165377797</v>
      </c>
      <c r="L70">
        <f t="shared" si="5"/>
        <v>-4.6936189950146992E-2</v>
      </c>
      <c r="P70">
        <v>0</v>
      </c>
      <c r="Q70">
        <v>0</v>
      </c>
    </row>
    <row r="71" spans="1:17" x14ac:dyDescent="0.3">
      <c r="A71">
        <v>0.65729349699999995</v>
      </c>
      <c r="B71">
        <v>7.4367112999999999E-2</v>
      </c>
      <c r="K71">
        <f t="shared" si="4"/>
        <v>0.6590509659999999</v>
      </c>
      <c r="L71">
        <f t="shared" si="5"/>
        <v>-4.3377983950146998E-2</v>
      </c>
      <c r="P71">
        <v>0</v>
      </c>
      <c r="Q71">
        <v>-5.2724451219509916E-3</v>
      </c>
    </row>
    <row r="72" spans="1:17" x14ac:dyDescent="0.3">
      <c r="A72" s="1" t="s">
        <v>83</v>
      </c>
      <c r="B72">
        <v>7.7925317999999993E-2</v>
      </c>
      <c r="K72">
        <f t="shared" si="4"/>
        <v>0.67135325107381294</v>
      </c>
      <c r="L72">
        <f t="shared" si="5"/>
        <v>-3.9819778950147003E-2</v>
      </c>
      <c r="P72">
        <v>0</v>
      </c>
      <c r="Q72">
        <v>-8.7874085365849952E-3</v>
      </c>
    </row>
    <row r="73" spans="1:17" x14ac:dyDescent="0.3">
      <c r="A73" s="1" t="s">
        <v>84</v>
      </c>
      <c r="B73">
        <v>8.1477346000000006E-2</v>
      </c>
      <c r="K73">
        <f t="shared" si="4"/>
        <v>0.68189806653954299</v>
      </c>
      <c r="L73">
        <f t="shared" si="5"/>
        <v>-3.626775095014699E-2</v>
      </c>
      <c r="P73">
        <v>0</v>
      </c>
      <c r="Q73">
        <v>-1.2302371951218999E-2</v>
      </c>
    </row>
    <row r="74" spans="1:17" x14ac:dyDescent="0.3">
      <c r="A74" s="1" t="s">
        <v>85</v>
      </c>
      <c r="B74">
        <v>8.5047907000000006E-2</v>
      </c>
      <c r="K74">
        <f t="shared" si="4"/>
        <v>0.6977152897381369</v>
      </c>
      <c r="L74">
        <f t="shared" si="5"/>
        <v>-3.269718995014699E-2</v>
      </c>
      <c r="P74">
        <v>0</v>
      </c>
      <c r="Q74">
        <v>-1.757481707316999E-2</v>
      </c>
    </row>
    <row r="75" spans="1:17" x14ac:dyDescent="0.3">
      <c r="A75" s="1" t="s">
        <v>86</v>
      </c>
      <c r="B75">
        <v>9.0375948999999997E-2</v>
      </c>
      <c r="K75">
        <f t="shared" si="4"/>
        <v>0.71353251293673092</v>
      </c>
      <c r="L75">
        <f t="shared" si="5"/>
        <v>-2.7369147950146999E-2</v>
      </c>
      <c r="P75">
        <v>0</v>
      </c>
      <c r="Q75">
        <v>-2.2847261950146996E-2</v>
      </c>
    </row>
    <row r="76" spans="1:17" x14ac:dyDescent="0.3">
      <c r="A76" s="1" t="s">
        <v>87</v>
      </c>
      <c r="B76">
        <v>9.3940332000000001E-2</v>
      </c>
      <c r="K76">
        <f t="shared" si="4"/>
        <v>0.72759226689103595</v>
      </c>
      <c r="L76">
        <f t="shared" si="5"/>
        <v>-2.3804764950146995E-2</v>
      </c>
      <c r="P76">
        <v>1.757469E-3</v>
      </c>
      <c r="Q76">
        <v>-2.8113529950147001E-2</v>
      </c>
    </row>
    <row r="77" spans="1:17" x14ac:dyDescent="0.3">
      <c r="A77" s="1" t="s">
        <v>88</v>
      </c>
      <c r="B77">
        <v>9.5741055000000005E-2</v>
      </c>
      <c r="K77">
        <f t="shared" si="4"/>
        <v>0.739894551601054</v>
      </c>
      <c r="L77">
        <f t="shared" si="5"/>
        <v>-2.2004041950146991E-2</v>
      </c>
      <c r="P77">
        <v>5.2724069999999998E-3</v>
      </c>
      <c r="Q77">
        <v>-3.3373619950146996E-2</v>
      </c>
    </row>
    <row r="78" spans="1:17" x14ac:dyDescent="0.3">
      <c r="A78" s="1" t="s">
        <v>89</v>
      </c>
      <c r="B78" s="1" t="s">
        <v>90</v>
      </c>
      <c r="K78">
        <f t="shared" si="4"/>
        <v>0.75395430555535992</v>
      </c>
      <c r="L78">
        <f t="shared" si="5"/>
        <v>-1.6682176979295998E-2</v>
      </c>
      <c r="P78">
        <v>8.7873459999999997E-3</v>
      </c>
      <c r="Q78">
        <v>-3.8633709950146991E-2</v>
      </c>
    </row>
    <row r="79" spans="1:17" x14ac:dyDescent="0.3">
      <c r="A79">
        <v>0.76625659099999999</v>
      </c>
      <c r="B79" s="1" t="s">
        <v>91</v>
      </c>
      <c r="K79">
        <f t="shared" si="4"/>
        <v>0.76801405999999994</v>
      </c>
      <c r="L79">
        <f t="shared" si="5"/>
        <v>-1.1360312336576001E-2</v>
      </c>
      <c r="P79">
        <v>1.2302284465729299E-2</v>
      </c>
      <c r="Q79">
        <v>-4.3893800950146999E-2</v>
      </c>
    </row>
    <row r="80" spans="1:17" x14ac:dyDescent="0.3">
      <c r="A80" s="1" t="s">
        <v>92</v>
      </c>
      <c r="B80" s="1" t="s">
        <v>93</v>
      </c>
      <c r="K80">
        <f t="shared" si="4"/>
        <v>0.78383128270825997</v>
      </c>
      <c r="L80">
        <f t="shared" si="5"/>
        <v>-6.0322702537609907E-3</v>
      </c>
      <c r="P80">
        <v>1.58172229543058E-2</v>
      </c>
      <c r="Q80">
        <v>-4.739640895014699E-2</v>
      </c>
    </row>
    <row r="81" spans="1:17" x14ac:dyDescent="0.3">
      <c r="A81" s="1" t="s">
        <v>94</v>
      </c>
      <c r="B81" s="1" t="s">
        <v>95</v>
      </c>
      <c r="K81">
        <f t="shared" si="4"/>
        <v>0.79964850590685399</v>
      </c>
      <c r="L81">
        <f t="shared" si="5"/>
        <v>-7.0422817094599466E-4</v>
      </c>
      <c r="P81">
        <v>1.9332161E-2</v>
      </c>
      <c r="Q81">
        <v>-5.0899017950146994E-2</v>
      </c>
    </row>
    <row r="82" spans="1:17" x14ac:dyDescent="0.3">
      <c r="A82" s="1" t="s">
        <v>96</v>
      </c>
      <c r="B82" s="1" t="s">
        <v>97</v>
      </c>
      <c r="K82">
        <f t="shared" si="4"/>
        <v>0.81898066759402399</v>
      </c>
      <c r="L82">
        <f t="shared" si="5"/>
        <v>4.6361687920620093E-3</v>
      </c>
      <c r="P82">
        <v>2.2847099931458701E-2</v>
      </c>
      <c r="Q82">
        <v>-5.4401625950146998E-2</v>
      </c>
    </row>
    <row r="83" spans="1:17" x14ac:dyDescent="0.3">
      <c r="A83">
        <v>0.83655535999999997</v>
      </c>
      <c r="B83" s="1" t="s">
        <v>98</v>
      </c>
      <c r="K83">
        <f t="shared" si="4"/>
        <v>0.83831282899999993</v>
      </c>
      <c r="L83">
        <f t="shared" si="5"/>
        <v>1.1734047462386002E-2</v>
      </c>
      <c r="P83">
        <v>2.6362038420035101E-2</v>
      </c>
      <c r="Q83">
        <v>-5.7904234740022396E-2</v>
      </c>
    </row>
    <row r="84" spans="1:17" x14ac:dyDescent="0.3">
      <c r="A84" s="1" t="s">
        <v>99</v>
      </c>
      <c r="B84" s="1" t="s">
        <v>100</v>
      </c>
      <c r="K84">
        <f t="shared" si="4"/>
        <v>0.857644990968365</v>
      </c>
      <c r="L84">
        <f t="shared" si="5"/>
        <v>1.8831926132710994E-2</v>
      </c>
      <c r="P84">
        <v>3.1634445999999997E-2</v>
      </c>
      <c r="Q84">
        <v>-6.1400665950146996E-2</v>
      </c>
    </row>
    <row r="85" spans="1:17" x14ac:dyDescent="0.3">
      <c r="A85" s="1" t="s">
        <v>101</v>
      </c>
      <c r="B85" s="1" t="s">
        <v>102</v>
      </c>
      <c r="K85">
        <f t="shared" si="4"/>
        <v>0.87346221416695891</v>
      </c>
      <c r="L85">
        <f t="shared" si="5"/>
        <v>2.5917449922842992E-2</v>
      </c>
      <c r="P85">
        <v>3.5149384999999998E-2</v>
      </c>
      <c r="Q85">
        <v>-6.4903273950147E-2</v>
      </c>
    </row>
    <row r="86" spans="1:17" x14ac:dyDescent="0.3">
      <c r="A86" s="1" t="s">
        <v>103</v>
      </c>
      <c r="B86" s="1" t="s">
        <v>104</v>
      </c>
      <c r="K86">
        <f t="shared" si="4"/>
        <v>0.88927943736555293</v>
      </c>
      <c r="L86">
        <f t="shared" si="5"/>
        <v>3.1245492005659001E-2</v>
      </c>
      <c r="P86">
        <v>4.0421792374340897E-2</v>
      </c>
      <c r="Q86">
        <v>-6.839970546315649E-2</v>
      </c>
    </row>
    <row r="87" spans="1:17" x14ac:dyDescent="0.3">
      <c r="A87" s="1" t="s">
        <v>105</v>
      </c>
      <c r="B87" s="1" t="s">
        <v>106</v>
      </c>
      <c r="K87">
        <f t="shared" si="4"/>
        <v>0.90158172207557097</v>
      </c>
      <c r="L87">
        <f t="shared" si="5"/>
        <v>3.6561179208282016E-2</v>
      </c>
      <c r="P87">
        <v>4.5694199999999997E-2</v>
      </c>
      <c r="Q87">
        <v>-7.1896136950146988E-2</v>
      </c>
    </row>
    <row r="88" spans="1:17" x14ac:dyDescent="0.3">
      <c r="A88" s="1" t="s">
        <v>107</v>
      </c>
      <c r="B88" s="1" t="s">
        <v>108</v>
      </c>
      <c r="K88">
        <f t="shared" si="4"/>
        <v>0.915641476029876</v>
      </c>
      <c r="L88">
        <f t="shared" si="5"/>
        <v>4.3640525558318002E-2</v>
      </c>
      <c r="P88">
        <v>5.4481546328646699E-2</v>
      </c>
      <c r="Q88">
        <v>-7.5380212950146991E-2</v>
      </c>
    </row>
    <row r="89" spans="1:17" x14ac:dyDescent="0.3">
      <c r="A89" s="1" t="s">
        <v>109</v>
      </c>
      <c r="B89" s="1" t="s">
        <v>110</v>
      </c>
      <c r="K89">
        <f t="shared" si="4"/>
        <v>0.93321616847275901</v>
      </c>
      <c r="L89">
        <f t="shared" si="5"/>
        <v>5.0732226788547011E-2</v>
      </c>
      <c r="P89">
        <v>6.3268892550087802E-2</v>
      </c>
      <c r="Q89">
        <v>-7.8864288950146993E-2</v>
      </c>
    </row>
    <row r="90" spans="1:17" x14ac:dyDescent="0.3">
      <c r="A90" s="1" t="s">
        <v>111</v>
      </c>
      <c r="B90" s="1" t="s">
        <v>112</v>
      </c>
      <c r="K90">
        <f t="shared" si="4"/>
        <v>0.94551845318277594</v>
      </c>
      <c r="L90">
        <f t="shared" si="5"/>
        <v>5.7805395698487014E-2</v>
      </c>
      <c r="P90">
        <v>7.0298769999999997E-2</v>
      </c>
      <c r="Q90">
        <v>-8.0597060950146987E-2</v>
      </c>
    </row>
    <row r="91" spans="1:17" x14ac:dyDescent="0.3">
      <c r="A91" s="1" t="s">
        <v>113</v>
      </c>
      <c r="B91" s="1" t="s">
        <v>114</v>
      </c>
      <c r="K91">
        <f t="shared" si="4"/>
        <v>0.96133567638136996</v>
      </c>
      <c r="L91">
        <f t="shared" si="5"/>
        <v>6.4890919488620011E-2</v>
      </c>
      <c r="P91">
        <v>7.9086115999999998E-2</v>
      </c>
      <c r="Q91">
        <v>-8.408113695014699E-2</v>
      </c>
    </row>
    <row r="92" spans="1:17" x14ac:dyDescent="0.3">
      <c r="A92" s="1" t="s">
        <v>115</v>
      </c>
      <c r="B92" s="1" t="s">
        <v>116</v>
      </c>
      <c r="K92">
        <f t="shared" si="4"/>
        <v>0.97715289957996398</v>
      </c>
      <c r="L92">
        <f t="shared" si="5"/>
        <v>7.3733924986068997E-2</v>
      </c>
      <c r="P92">
        <v>8.6115993000000002E-2</v>
      </c>
      <c r="Q92">
        <v>-8.5813908950146997E-2</v>
      </c>
    </row>
    <row r="93" spans="1:17" x14ac:dyDescent="0.3">
      <c r="A93" s="1" t="s">
        <v>117</v>
      </c>
      <c r="B93" s="1" t="s">
        <v>118</v>
      </c>
      <c r="K93">
        <f t="shared" si="4"/>
        <v>0.99121265353426991</v>
      </c>
      <c r="L93">
        <f t="shared" si="5"/>
        <v>8.081327133610601E-2</v>
      </c>
      <c r="P93">
        <v>9.6660808000000001E-2</v>
      </c>
      <c r="Q93">
        <v>-8.92918078678889E-2</v>
      </c>
    </row>
    <row r="94" spans="1:17" x14ac:dyDescent="0.3">
      <c r="A94" s="1" t="s">
        <v>119</v>
      </c>
      <c r="B94" s="1" t="s">
        <v>120</v>
      </c>
      <c r="K94">
        <f t="shared" si="4"/>
        <v>0.99999999975571097</v>
      </c>
      <c r="L94">
        <f t="shared" si="5"/>
        <v>8.4359121951220015E-2</v>
      </c>
      <c r="P94">
        <v>0.108963092901581</v>
      </c>
      <c r="Q94">
        <v>-9.1006047950146995E-2</v>
      </c>
    </row>
    <row r="95" spans="1:17" x14ac:dyDescent="0.3">
      <c r="A95" s="1" t="s">
        <v>121</v>
      </c>
      <c r="B95" s="1" t="s">
        <v>122</v>
      </c>
      <c r="K95">
        <f t="shared" si="4"/>
        <v>0.99824253051142298</v>
      </c>
      <c r="L95">
        <f t="shared" si="5"/>
        <v>9.1382871340392011E-2</v>
      </c>
      <c r="P95">
        <v>0.12302284685588699</v>
      </c>
      <c r="Q95">
        <v>-9.2714109681082901E-2</v>
      </c>
    </row>
    <row r="96" spans="1:17" x14ac:dyDescent="0.3">
      <c r="A96" s="1" t="s">
        <v>123</v>
      </c>
      <c r="B96" s="1" t="s">
        <v>124</v>
      </c>
      <c r="K96">
        <f t="shared" si="4"/>
        <v>0.98945518428998191</v>
      </c>
      <c r="L96">
        <f t="shared" si="5"/>
        <v>8.7837020725278006E-2</v>
      </c>
      <c r="P96">
        <v>0.13356766232161602</v>
      </c>
      <c r="Q96">
        <v>-9.4434526950146994E-2</v>
      </c>
    </row>
    <row r="97" spans="1:17" x14ac:dyDescent="0.3">
      <c r="A97" s="1" t="s">
        <v>125</v>
      </c>
      <c r="B97" s="1" t="s">
        <v>126</v>
      </c>
      <c r="K97">
        <f t="shared" ref="K97:K128" si="6">A97-$A$1</f>
        <v>0.973637961091388</v>
      </c>
      <c r="L97">
        <f t="shared" ref="L97:L128" si="7">B97-$B$1</f>
        <v>8.2508978642462996E-2</v>
      </c>
      <c r="P97">
        <v>0.14762741627592202</v>
      </c>
      <c r="Q97">
        <v>-9.6142588934372691E-2</v>
      </c>
    </row>
    <row r="98" spans="1:17" x14ac:dyDescent="0.3">
      <c r="A98" s="1" t="s">
        <v>127</v>
      </c>
      <c r="B98" s="1" t="s">
        <v>128</v>
      </c>
      <c r="K98">
        <f t="shared" si="6"/>
        <v>0.95782073789279398</v>
      </c>
      <c r="L98">
        <f t="shared" si="7"/>
        <v>7.7180936559647015E-2</v>
      </c>
      <c r="P98">
        <v>0.15817223174165201</v>
      </c>
      <c r="Q98">
        <v>-9.7863006001113598E-2</v>
      </c>
    </row>
    <row r="99" spans="1:17" x14ac:dyDescent="0.3">
      <c r="A99" s="1" t="s">
        <v>129</v>
      </c>
      <c r="B99" s="1" t="s">
        <v>130</v>
      </c>
      <c r="K99">
        <f t="shared" si="6"/>
        <v>0.94200351469419996</v>
      </c>
      <c r="L99">
        <f t="shared" si="7"/>
        <v>7.3610376184148993E-2</v>
      </c>
      <c r="P99">
        <v>0.16871704720738101</v>
      </c>
      <c r="Q99">
        <v>-9.9583423067854698E-2</v>
      </c>
    </row>
    <row r="100" spans="1:17" x14ac:dyDescent="0.3">
      <c r="A100" s="1" t="s">
        <v>131</v>
      </c>
      <c r="B100" s="1" t="s">
        <v>132</v>
      </c>
      <c r="K100">
        <f t="shared" si="6"/>
        <v>0.92618629149560594</v>
      </c>
      <c r="L100">
        <f t="shared" si="7"/>
        <v>7.0039815808649999E-2</v>
      </c>
      <c r="P100">
        <v>0.17926186267311001</v>
      </c>
      <c r="Q100">
        <v>-9.9546358427278603E-2</v>
      </c>
    </row>
    <row r="101" spans="1:17" x14ac:dyDescent="0.3">
      <c r="A101">
        <v>0.90685413000000004</v>
      </c>
      <c r="B101" s="1" t="s">
        <v>133</v>
      </c>
      <c r="K101">
        <f t="shared" si="6"/>
        <v>0.90861159899999999</v>
      </c>
      <c r="L101">
        <f t="shared" si="7"/>
        <v>6.4705596285739006E-2</v>
      </c>
      <c r="P101">
        <v>0.18980667813884</v>
      </c>
      <c r="Q101">
        <v>-9.9509293950147001E-2</v>
      </c>
    </row>
    <row r="102" spans="1:17" x14ac:dyDescent="0.3">
      <c r="A102" s="1" t="s">
        <v>103</v>
      </c>
      <c r="B102" s="1" t="s">
        <v>134</v>
      </c>
      <c r="K102">
        <f t="shared" si="6"/>
        <v>0.88927943736555293</v>
      </c>
      <c r="L102">
        <f t="shared" si="7"/>
        <v>6.1122681030049017E-2</v>
      </c>
      <c r="P102">
        <v>0.20035149360456903</v>
      </c>
      <c r="Q102">
        <v>-0.1012297108534434</v>
      </c>
    </row>
    <row r="103" spans="1:17" x14ac:dyDescent="0.3">
      <c r="A103" s="1" t="s">
        <v>101</v>
      </c>
      <c r="B103" s="1" t="s">
        <v>135</v>
      </c>
      <c r="K103">
        <f t="shared" si="6"/>
        <v>0.87346221416695891</v>
      </c>
      <c r="L103">
        <f t="shared" si="7"/>
        <v>5.7552120654549996E-2</v>
      </c>
      <c r="P103">
        <v>0.21089630907029802</v>
      </c>
      <c r="Q103">
        <v>-0.1011926462128673</v>
      </c>
    </row>
    <row r="104" spans="1:17" x14ac:dyDescent="0.3">
      <c r="A104" s="1" t="s">
        <v>136</v>
      </c>
      <c r="B104" s="1" t="s">
        <v>137</v>
      </c>
      <c r="K104">
        <f t="shared" si="6"/>
        <v>0.85940246021265299</v>
      </c>
      <c r="L104">
        <f t="shared" si="7"/>
        <v>5.5745219426465001E-2</v>
      </c>
      <c r="P104">
        <v>0.219683655291739</v>
      </c>
      <c r="Q104">
        <v>-0.10116175895014699</v>
      </c>
    </row>
    <row r="105" spans="1:17" x14ac:dyDescent="0.3">
      <c r="A105" s="1" t="s">
        <v>138</v>
      </c>
      <c r="B105" s="1" t="s">
        <v>139</v>
      </c>
      <c r="K105">
        <f t="shared" si="6"/>
        <v>0.84358523701405896</v>
      </c>
      <c r="L105">
        <f t="shared" si="7"/>
        <v>5.3932140758283995E-2</v>
      </c>
      <c r="P105">
        <v>0.23198594000175701</v>
      </c>
      <c r="Q105">
        <v>-0.10111851695014699</v>
      </c>
    </row>
    <row r="106" spans="1:17" x14ac:dyDescent="0.3">
      <c r="A106" s="1" t="s">
        <v>140</v>
      </c>
      <c r="B106" s="1" t="s">
        <v>141</v>
      </c>
      <c r="K106">
        <f t="shared" si="6"/>
        <v>0.82776801381546494</v>
      </c>
      <c r="L106">
        <f t="shared" si="7"/>
        <v>5.2119062090103016E-2</v>
      </c>
      <c r="P106">
        <v>0.244288224711775</v>
      </c>
      <c r="Q106">
        <v>-0.101075274950147</v>
      </c>
    </row>
    <row r="107" spans="1:17" x14ac:dyDescent="0.3">
      <c r="A107" s="1" t="s">
        <v>142</v>
      </c>
      <c r="B107" s="1" t="s">
        <v>143</v>
      </c>
      <c r="K107">
        <f t="shared" si="6"/>
        <v>0.80843585212829494</v>
      </c>
      <c r="L107">
        <f t="shared" si="7"/>
        <v>5.0293628541730015E-2</v>
      </c>
      <c r="P107">
        <v>0.25659050942179201</v>
      </c>
      <c r="Q107">
        <v>-0.101032032950147</v>
      </c>
    </row>
    <row r="108" spans="1:17" x14ac:dyDescent="0.3">
      <c r="A108" s="1" t="s">
        <v>144</v>
      </c>
      <c r="B108" s="1" t="s">
        <v>145</v>
      </c>
      <c r="K108">
        <f t="shared" si="6"/>
        <v>0.78734622119683595</v>
      </c>
      <c r="L108">
        <f t="shared" si="7"/>
        <v>4.8462017553260003E-2</v>
      </c>
      <c r="P108">
        <v>0.26713532500000003</v>
      </c>
      <c r="Q108">
        <v>-0.10099496812979469</v>
      </c>
    </row>
    <row r="109" spans="1:17" x14ac:dyDescent="0.3">
      <c r="A109" s="1" t="s">
        <v>146</v>
      </c>
      <c r="B109" s="1" t="s">
        <v>147</v>
      </c>
      <c r="K109">
        <f t="shared" si="6"/>
        <v>0.76977152875395394</v>
      </c>
      <c r="L109">
        <f t="shared" si="7"/>
        <v>4.6642761444983014E-2</v>
      </c>
      <c r="P109">
        <v>0.277680140353251</v>
      </c>
      <c r="Q109">
        <v>-0.1009579034892186</v>
      </c>
    </row>
    <row r="110" spans="1:17" x14ac:dyDescent="0.3">
      <c r="A110" s="1" t="s">
        <v>148</v>
      </c>
      <c r="B110" s="1" t="s">
        <v>149</v>
      </c>
      <c r="K110">
        <f t="shared" si="6"/>
        <v>0.74692442857820696</v>
      </c>
      <c r="L110">
        <f t="shared" si="7"/>
        <v>4.6562454723735006E-2</v>
      </c>
      <c r="P110">
        <v>0.28822495581898</v>
      </c>
      <c r="Q110">
        <v>-0.1009208388486425</v>
      </c>
    </row>
    <row r="111" spans="1:17" x14ac:dyDescent="0.3">
      <c r="A111" s="1" t="s">
        <v>150</v>
      </c>
      <c r="B111" s="1" t="s">
        <v>151</v>
      </c>
      <c r="K111">
        <f t="shared" si="6"/>
        <v>0.72583479764674796</v>
      </c>
      <c r="L111">
        <f t="shared" si="7"/>
        <v>4.648832544258201E-2</v>
      </c>
      <c r="P111">
        <v>0.30404217901757402</v>
      </c>
      <c r="Q111">
        <v>-0.1008652418877784</v>
      </c>
    </row>
    <row r="112" spans="1:17" x14ac:dyDescent="0.3">
      <c r="A112" s="1" t="s">
        <v>152</v>
      </c>
      <c r="B112" s="1" t="s">
        <v>153</v>
      </c>
      <c r="K112">
        <f t="shared" si="6"/>
        <v>0.70650263595957796</v>
      </c>
      <c r="L112">
        <f t="shared" si="7"/>
        <v>4.6420373601525997E-2</v>
      </c>
      <c r="P112">
        <v>0.31810193297188</v>
      </c>
      <c r="Q112">
        <v>-9.9058340950146997E-2</v>
      </c>
    </row>
    <row r="113" spans="1:17" x14ac:dyDescent="0.3">
      <c r="A113">
        <v>0.68717047499999995</v>
      </c>
      <c r="B113" s="1" t="s">
        <v>154</v>
      </c>
      <c r="K113">
        <f t="shared" si="6"/>
        <v>0.6889279439999999</v>
      </c>
      <c r="L113">
        <f t="shared" si="7"/>
        <v>4.6358599200565995E-2</v>
      </c>
      <c r="P113">
        <v>0.33040421768189804</v>
      </c>
      <c r="Q113">
        <v>-9.9015098950146999E-2</v>
      </c>
    </row>
    <row r="114" spans="1:17" x14ac:dyDescent="0.3">
      <c r="A114" s="1" t="s">
        <v>155</v>
      </c>
      <c r="B114" s="1" t="s">
        <v>156</v>
      </c>
      <c r="K114">
        <f t="shared" si="6"/>
        <v>0.67662565880667791</v>
      </c>
      <c r="L114">
        <f t="shared" si="7"/>
        <v>4.6315357119893999E-2</v>
      </c>
      <c r="P114">
        <v>0.34270650239191502</v>
      </c>
      <c r="Q114">
        <v>-9.7214374791031705E-2</v>
      </c>
    </row>
    <row r="115" spans="1:17" x14ac:dyDescent="0.3">
      <c r="A115" s="1" t="s">
        <v>157</v>
      </c>
      <c r="B115" s="1" t="s">
        <v>158</v>
      </c>
      <c r="K115">
        <f t="shared" si="6"/>
        <v>0.66432337409665998</v>
      </c>
      <c r="L115">
        <f t="shared" si="7"/>
        <v>4.6272115039222003E-2</v>
      </c>
      <c r="P115">
        <v>0.35500878710193301</v>
      </c>
      <c r="Q115">
        <v>-9.7171132710359598E-2</v>
      </c>
    </row>
    <row r="116" spans="1:17" x14ac:dyDescent="0.3">
      <c r="A116">
        <v>0.64850615099999998</v>
      </c>
      <c r="B116" s="1" t="s">
        <v>159</v>
      </c>
      <c r="K116">
        <f t="shared" si="6"/>
        <v>0.65026361999999993</v>
      </c>
      <c r="L116">
        <f t="shared" si="7"/>
        <v>4.7980177225771012E-2</v>
      </c>
      <c r="P116">
        <v>0.36379613332337402</v>
      </c>
      <c r="Q116">
        <v>-9.5382763802562498E-2</v>
      </c>
    </row>
    <row r="117" spans="1:17" x14ac:dyDescent="0.3">
      <c r="A117">
        <v>0.63268892799999998</v>
      </c>
      <c r="B117" s="1" t="s">
        <v>160</v>
      </c>
      <c r="K117">
        <f t="shared" si="6"/>
        <v>0.63444639699999994</v>
      </c>
      <c r="L117">
        <f t="shared" si="7"/>
        <v>4.7924580264906994E-2</v>
      </c>
      <c r="P117">
        <v>0.37434094878910301</v>
      </c>
      <c r="Q117">
        <v>-9.5345698950146995E-2</v>
      </c>
    </row>
    <row r="118" spans="1:17" x14ac:dyDescent="0.3">
      <c r="A118" s="1" t="s">
        <v>161</v>
      </c>
      <c r="B118" s="1" t="s">
        <v>162</v>
      </c>
      <c r="K118">
        <f t="shared" si="6"/>
        <v>0.622144112233743</v>
      </c>
      <c r="L118">
        <f t="shared" si="7"/>
        <v>4.7881338184234998E-2</v>
      </c>
      <c r="P118">
        <v>0.38312829501054402</v>
      </c>
      <c r="Q118">
        <v>-9.3557329950146997E-2</v>
      </c>
    </row>
    <row r="119" spans="1:17" x14ac:dyDescent="0.3">
      <c r="A119" s="1" t="s">
        <v>163</v>
      </c>
      <c r="B119" s="1" t="s">
        <v>164</v>
      </c>
      <c r="K119">
        <f t="shared" si="6"/>
        <v>0.60632688903514897</v>
      </c>
      <c r="L119">
        <f t="shared" si="7"/>
        <v>4.9583222930686996E-2</v>
      </c>
      <c r="P119">
        <v>0.395430579720562</v>
      </c>
      <c r="Q119">
        <v>-9.3514087950146998E-2</v>
      </c>
    </row>
    <row r="120" spans="1:17" x14ac:dyDescent="0.3">
      <c r="A120" s="1" t="s">
        <v>78</v>
      </c>
      <c r="B120" s="1" t="s">
        <v>165</v>
      </c>
      <c r="K120">
        <f t="shared" si="6"/>
        <v>0.58699472734797797</v>
      </c>
      <c r="L120">
        <f t="shared" si="7"/>
        <v>5.1272752796947998E-2</v>
      </c>
      <c r="P120">
        <v>0.40773286443057899</v>
      </c>
      <c r="Q120">
        <v>-9.1713364385527893E-2</v>
      </c>
    </row>
    <row r="121" spans="1:17" x14ac:dyDescent="0.3">
      <c r="A121" s="1" t="s">
        <v>77</v>
      </c>
      <c r="B121" s="1" t="s">
        <v>166</v>
      </c>
      <c r="K121">
        <f t="shared" si="6"/>
        <v>0.57117750414938395</v>
      </c>
      <c r="L121">
        <f t="shared" si="7"/>
        <v>5.1217155836084008E-2</v>
      </c>
      <c r="P121">
        <v>0.42179261838488502</v>
      </c>
      <c r="Q121">
        <v>-8.990646315744269E-2</v>
      </c>
    </row>
    <row r="122" spans="1:17" x14ac:dyDescent="0.3">
      <c r="A122" s="1" t="s">
        <v>167</v>
      </c>
      <c r="B122" s="1" t="s">
        <v>168</v>
      </c>
      <c r="K122">
        <f t="shared" si="6"/>
        <v>0.55360281170650194</v>
      </c>
      <c r="L122">
        <f t="shared" si="7"/>
        <v>5.2912863142440994E-2</v>
      </c>
      <c r="P122">
        <v>0.43409490309490301</v>
      </c>
      <c r="Q122">
        <v>-8.8105739369453401E-2</v>
      </c>
    </row>
    <row r="123" spans="1:17" x14ac:dyDescent="0.3">
      <c r="A123" s="1" t="s">
        <v>169</v>
      </c>
      <c r="B123" s="1" t="s">
        <v>170</v>
      </c>
      <c r="K123">
        <f t="shared" si="6"/>
        <v>0.53778558850790792</v>
      </c>
      <c r="L123">
        <f t="shared" si="7"/>
        <v>5.4614747888893991E-2</v>
      </c>
      <c r="P123">
        <v>0.44815465704920904</v>
      </c>
      <c r="Q123">
        <v>-8.6298838141368198E-2</v>
      </c>
    </row>
    <row r="124" spans="1:17" x14ac:dyDescent="0.3">
      <c r="A124" s="1" t="s">
        <v>171</v>
      </c>
      <c r="B124" s="1" t="s">
        <v>172</v>
      </c>
      <c r="K124">
        <f t="shared" si="6"/>
        <v>0.52021089606502591</v>
      </c>
      <c r="L124">
        <f t="shared" si="7"/>
        <v>5.6310455195251005E-2</v>
      </c>
      <c r="P124">
        <v>0.46045694175922602</v>
      </c>
      <c r="Q124">
        <v>-8.2740632950146997E-2</v>
      </c>
    </row>
    <row r="125" spans="1:17" x14ac:dyDescent="0.3">
      <c r="A125" s="1" t="s">
        <v>173</v>
      </c>
      <c r="B125" s="1" t="s">
        <v>174</v>
      </c>
      <c r="K125">
        <f t="shared" si="6"/>
        <v>0.50263620362214401</v>
      </c>
      <c r="L125">
        <f t="shared" si="7"/>
        <v>5.8006162501607991E-2</v>
      </c>
      <c r="P125">
        <v>0.47100175700000002</v>
      </c>
      <c r="Q125">
        <v>-8.2703567950146994E-2</v>
      </c>
    </row>
    <row r="126" spans="1:17" x14ac:dyDescent="0.3">
      <c r="A126" s="1" t="s">
        <v>67</v>
      </c>
      <c r="B126" s="1" t="s">
        <v>175</v>
      </c>
      <c r="K126">
        <f t="shared" si="6"/>
        <v>0.48154657269068502</v>
      </c>
      <c r="L126">
        <f t="shared" si="7"/>
        <v>5.968951492777301E-2</v>
      </c>
      <c r="P126">
        <v>0.48154657269068502</v>
      </c>
      <c r="Q126">
        <v>-8.0909021950146987E-2</v>
      </c>
    </row>
    <row r="127" spans="1:17" x14ac:dyDescent="0.3">
      <c r="A127" s="1" t="s">
        <v>176</v>
      </c>
      <c r="B127" s="1" t="s">
        <v>177</v>
      </c>
      <c r="K127">
        <f t="shared" si="6"/>
        <v>0.46221441100351501</v>
      </c>
      <c r="L127">
        <f t="shared" si="7"/>
        <v>6.1379044794034013E-2</v>
      </c>
      <c r="P127">
        <v>0.49209138815641401</v>
      </c>
      <c r="Q127">
        <v>-7.9114475309699506E-2</v>
      </c>
    </row>
    <row r="128" spans="1:17" x14ac:dyDescent="0.3">
      <c r="A128" s="1" t="s">
        <v>178</v>
      </c>
      <c r="B128" s="1" t="s">
        <v>179</v>
      </c>
      <c r="K128">
        <f t="shared" si="6"/>
        <v>0.44288224931634401</v>
      </c>
      <c r="L128">
        <f t="shared" si="7"/>
        <v>6.3068574660294016E-2</v>
      </c>
      <c r="P128">
        <v>0.504393672866432</v>
      </c>
      <c r="Q128">
        <v>-7.7313751950147003E-2</v>
      </c>
    </row>
    <row r="129" spans="1:17" x14ac:dyDescent="0.3">
      <c r="A129" s="1" t="s">
        <v>180</v>
      </c>
      <c r="B129" s="1" t="s">
        <v>181</v>
      </c>
      <c r="K129">
        <f t="shared" ref="K129:K162" si="8">A129-$A$1</f>
        <v>0.42882249536203804</v>
      </c>
      <c r="L129">
        <f t="shared" ref="L129:L162" si="9">B129-$B$1</f>
        <v>6.4776636846842997E-2</v>
      </c>
      <c r="P129">
        <v>0.51845342682073792</v>
      </c>
      <c r="Q129">
        <v>-7.3749368586307998E-2</v>
      </c>
    </row>
    <row r="130" spans="1:17" x14ac:dyDescent="0.3">
      <c r="A130" s="1" t="s">
        <v>58</v>
      </c>
      <c r="B130" s="1" t="s">
        <v>182</v>
      </c>
      <c r="K130">
        <f t="shared" si="8"/>
        <v>0.40773286443057899</v>
      </c>
      <c r="L130">
        <f t="shared" si="9"/>
        <v>6.6459989273008016E-2</v>
      </c>
      <c r="P130">
        <v>0.53075571153075496</v>
      </c>
      <c r="Q130">
        <v>-7.1948644950146995E-2</v>
      </c>
    </row>
    <row r="131" spans="1:17" x14ac:dyDescent="0.3">
      <c r="A131" s="1" t="s">
        <v>183</v>
      </c>
      <c r="B131" s="1" t="s">
        <v>184</v>
      </c>
      <c r="K131">
        <f t="shared" si="8"/>
        <v>0.39015817198769703</v>
      </c>
      <c r="L131">
        <f t="shared" si="9"/>
        <v>6.8155696579365002E-2</v>
      </c>
      <c r="P131">
        <v>0.543057996240773</v>
      </c>
      <c r="Q131">
        <v>-6.8390439303012598E-2</v>
      </c>
    </row>
    <row r="132" spans="1:17" x14ac:dyDescent="0.3">
      <c r="A132" s="1" t="s">
        <v>185</v>
      </c>
      <c r="B132" s="1" t="s">
        <v>186</v>
      </c>
      <c r="K132">
        <f t="shared" si="8"/>
        <v>0.37082601030052703</v>
      </c>
      <c r="L132">
        <f t="shared" si="9"/>
        <v>6.9845226445626005E-2</v>
      </c>
      <c r="P132">
        <v>0.55711775019507892</v>
      </c>
      <c r="Q132">
        <v>-6.6583537950146987E-2</v>
      </c>
    </row>
    <row r="133" spans="1:17" x14ac:dyDescent="0.3">
      <c r="A133" s="1" t="s">
        <v>187</v>
      </c>
      <c r="B133" s="1" t="s">
        <v>188</v>
      </c>
      <c r="K133">
        <f t="shared" si="8"/>
        <v>0.35149384861335603</v>
      </c>
      <c r="L133">
        <f t="shared" si="9"/>
        <v>7.1534756311887007E-2</v>
      </c>
      <c r="P133">
        <v>0.57117750414938395</v>
      </c>
      <c r="Q133">
        <v>-6.3019154950146997E-2</v>
      </c>
    </row>
    <row r="134" spans="1:17" x14ac:dyDescent="0.3">
      <c r="A134" s="1" t="s">
        <v>189</v>
      </c>
      <c r="B134" s="1" t="s">
        <v>190</v>
      </c>
      <c r="K134">
        <f t="shared" si="8"/>
        <v>0.33216168692618603</v>
      </c>
      <c r="L134">
        <f t="shared" si="9"/>
        <v>7.322428617814801E-2</v>
      </c>
      <c r="P134">
        <v>0.58699472734797797</v>
      </c>
      <c r="Q134">
        <v>-5.9448594950146996E-2</v>
      </c>
    </row>
    <row r="135" spans="1:17" x14ac:dyDescent="0.3">
      <c r="A135">
        <v>0.312829525</v>
      </c>
      <c r="B135" s="1" t="s">
        <v>191</v>
      </c>
      <c r="K135">
        <f t="shared" si="8"/>
        <v>0.31458699400000001</v>
      </c>
      <c r="L135">
        <f t="shared" si="9"/>
        <v>7.3162511777188008E-2</v>
      </c>
      <c r="P135">
        <v>0.601054481302284</v>
      </c>
      <c r="Q135">
        <v>-5.7641693950146997E-2</v>
      </c>
    </row>
    <row r="136" spans="1:17" x14ac:dyDescent="0.3">
      <c r="A136" s="1" t="s">
        <v>192</v>
      </c>
      <c r="B136" s="1" t="s">
        <v>193</v>
      </c>
      <c r="K136">
        <f t="shared" si="8"/>
        <v>0.29701230204042101</v>
      </c>
      <c r="L136">
        <f t="shared" si="9"/>
        <v>7.3100737376227007E-2</v>
      </c>
      <c r="P136">
        <v>0.61335676601230193</v>
      </c>
      <c r="Q136">
        <v>-5.4083487950147002E-2</v>
      </c>
    </row>
    <row r="137" spans="1:17" x14ac:dyDescent="0.3">
      <c r="A137" s="1" t="s">
        <v>194</v>
      </c>
      <c r="B137" s="1" t="s">
        <v>195</v>
      </c>
      <c r="K137">
        <f t="shared" si="8"/>
        <v>0.28471001733040402</v>
      </c>
      <c r="L137">
        <f t="shared" si="9"/>
        <v>7.3057495295555011E-2</v>
      </c>
      <c r="P137">
        <v>0.62390158147803099</v>
      </c>
      <c r="Q137">
        <v>-5.2288941950146994E-2</v>
      </c>
    </row>
    <row r="138" spans="1:17" x14ac:dyDescent="0.3">
      <c r="A138">
        <v>0.26537785600000002</v>
      </c>
      <c r="B138" s="1" t="s">
        <v>196</v>
      </c>
      <c r="K138">
        <f t="shared" si="8"/>
        <v>0.26713532500000003</v>
      </c>
      <c r="L138">
        <f t="shared" si="9"/>
        <v>7.2995720894595009E-2</v>
      </c>
      <c r="P138">
        <v>0.63444639699999994</v>
      </c>
      <c r="Q138">
        <v>-4.8736913950146996E-2</v>
      </c>
    </row>
    <row r="139" spans="1:17" x14ac:dyDescent="0.3">
      <c r="A139" s="1" t="s">
        <v>197</v>
      </c>
      <c r="B139" s="1" t="s">
        <v>198</v>
      </c>
      <c r="K139">
        <f t="shared" si="8"/>
        <v>0.24780316320035101</v>
      </c>
      <c r="L139">
        <f t="shared" si="9"/>
        <v>7.4685250760856012E-2</v>
      </c>
      <c r="P139">
        <v>0.64674868165377797</v>
      </c>
      <c r="Q139">
        <v>-4.6936189950146992E-2</v>
      </c>
    </row>
    <row r="140" spans="1:17" x14ac:dyDescent="0.3">
      <c r="A140" s="1" t="s">
        <v>199</v>
      </c>
      <c r="B140" s="1" t="s">
        <v>200</v>
      </c>
      <c r="K140">
        <f t="shared" si="8"/>
        <v>0.23550087849033302</v>
      </c>
      <c r="L140">
        <f t="shared" si="9"/>
        <v>7.4642008680184016E-2</v>
      </c>
      <c r="P140">
        <v>0.6590509659999999</v>
      </c>
      <c r="Q140">
        <v>-4.3377983950146998E-2</v>
      </c>
    </row>
    <row r="141" spans="1:17" x14ac:dyDescent="0.3">
      <c r="A141" s="1" t="s">
        <v>36</v>
      </c>
      <c r="B141" s="1" t="s">
        <v>201</v>
      </c>
      <c r="K141">
        <f t="shared" si="8"/>
        <v>0.219683655291739</v>
      </c>
      <c r="L141">
        <f t="shared" si="9"/>
        <v>7.4586411719319998E-2</v>
      </c>
      <c r="P141">
        <v>0.67135325107381294</v>
      </c>
      <c r="Q141">
        <v>-3.9819778950147003E-2</v>
      </c>
    </row>
    <row r="142" spans="1:17" x14ac:dyDescent="0.3">
      <c r="A142" s="1" t="s">
        <v>202</v>
      </c>
      <c r="B142" s="1" t="s">
        <v>203</v>
      </c>
      <c r="K142">
        <f t="shared" si="8"/>
        <v>0.20210896284885702</v>
      </c>
      <c r="L142">
        <f t="shared" si="9"/>
        <v>7.4524637318359996E-2</v>
      </c>
      <c r="P142">
        <v>0.68189806653954299</v>
      </c>
      <c r="Q142">
        <v>-3.626775095014699E-2</v>
      </c>
    </row>
    <row r="143" spans="1:17" x14ac:dyDescent="0.3">
      <c r="A143" s="1" t="s">
        <v>204</v>
      </c>
      <c r="B143" s="1" t="s">
        <v>205</v>
      </c>
      <c r="K143">
        <f t="shared" si="8"/>
        <v>0.19156414738312802</v>
      </c>
      <c r="L143">
        <f t="shared" si="9"/>
        <v>7.4487572677783012E-2</v>
      </c>
      <c r="P143">
        <v>0.6977152897381369</v>
      </c>
      <c r="Q143">
        <v>-3.269718995014699E-2</v>
      </c>
    </row>
    <row r="144" spans="1:17" x14ac:dyDescent="0.3">
      <c r="A144" s="1" t="s">
        <v>206</v>
      </c>
      <c r="B144" s="1" t="s">
        <v>207</v>
      </c>
      <c r="K144">
        <f t="shared" si="8"/>
        <v>0.175746924184534</v>
      </c>
      <c r="L144">
        <f t="shared" si="9"/>
        <v>7.4431975716918994E-2</v>
      </c>
      <c r="P144">
        <v>0.71353251293673092</v>
      </c>
      <c r="Q144">
        <v>-2.7369147950146999E-2</v>
      </c>
    </row>
    <row r="145" spans="1:17" x14ac:dyDescent="0.3">
      <c r="A145" s="1" t="s">
        <v>208</v>
      </c>
      <c r="B145" s="1" t="s">
        <v>209</v>
      </c>
      <c r="K145">
        <f t="shared" si="8"/>
        <v>0.16344463947451601</v>
      </c>
      <c r="L145">
        <f t="shared" si="9"/>
        <v>7.263125192893001E-2</v>
      </c>
      <c r="P145">
        <v>0.72759226689103595</v>
      </c>
      <c r="Q145">
        <v>-2.3804764950146995E-2</v>
      </c>
    </row>
    <row r="146" spans="1:17" x14ac:dyDescent="0.3">
      <c r="A146" s="1" t="s">
        <v>210</v>
      </c>
      <c r="B146" s="1" t="s">
        <v>211</v>
      </c>
      <c r="K146">
        <f t="shared" si="8"/>
        <v>0.15289982400878702</v>
      </c>
      <c r="L146">
        <f t="shared" si="9"/>
        <v>7.2594187288353998E-2</v>
      </c>
      <c r="P146">
        <v>0.739894551601054</v>
      </c>
      <c r="Q146">
        <v>-2.2004041950146991E-2</v>
      </c>
    </row>
    <row r="147" spans="1:17" x14ac:dyDescent="0.3">
      <c r="A147" s="1" t="s">
        <v>212</v>
      </c>
      <c r="B147" s="1" t="s">
        <v>213</v>
      </c>
      <c r="K147">
        <f t="shared" si="8"/>
        <v>0.140597539298769</v>
      </c>
      <c r="L147">
        <f t="shared" si="9"/>
        <v>7.0793463500365014E-2</v>
      </c>
      <c r="P147">
        <v>0.75395430555535992</v>
      </c>
      <c r="Q147">
        <v>-1.6682176979295998E-2</v>
      </c>
    </row>
    <row r="148" spans="1:17" x14ac:dyDescent="0.3">
      <c r="A148" s="1" t="s">
        <v>214</v>
      </c>
      <c r="B148" s="1" t="s">
        <v>215</v>
      </c>
      <c r="K148">
        <f t="shared" si="8"/>
        <v>0.126537785344463</v>
      </c>
      <c r="L148">
        <f t="shared" si="9"/>
        <v>6.8986562272278992E-2</v>
      </c>
      <c r="P148">
        <v>0.76801405999999994</v>
      </c>
      <c r="Q148">
        <v>-1.1360312336576001E-2</v>
      </c>
    </row>
    <row r="149" spans="1:17" x14ac:dyDescent="0.3">
      <c r="A149" s="1" t="s">
        <v>216</v>
      </c>
      <c r="B149" s="1" t="s">
        <v>217</v>
      </c>
      <c r="K149">
        <f t="shared" si="8"/>
        <v>0.115992969878734</v>
      </c>
      <c r="L149">
        <f t="shared" si="9"/>
        <v>6.7192015924385992E-2</v>
      </c>
      <c r="P149">
        <v>0.78383128270825997</v>
      </c>
      <c r="Q149">
        <v>-6.0322702537609907E-3</v>
      </c>
    </row>
    <row r="150" spans="1:17" x14ac:dyDescent="0.3">
      <c r="A150" s="1" t="s">
        <v>218</v>
      </c>
      <c r="B150" s="1" t="s">
        <v>219</v>
      </c>
      <c r="K150">
        <f t="shared" si="8"/>
        <v>0.10544815441300499</v>
      </c>
      <c r="L150">
        <f t="shared" si="9"/>
        <v>6.5397469576492992E-2</v>
      </c>
      <c r="P150">
        <v>0.79964850590685399</v>
      </c>
      <c r="Q150">
        <v>-7.0422817094599466E-4</v>
      </c>
    </row>
    <row r="151" spans="1:17" x14ac:dyDescent="0.3">
      <c r="A151">
        <v>8.6115993000000002E-2</v>
      </c>
      <c r="B151" s="1" t="s">
        <v>220</v>
      </c>
      <c r="K151">
        <f t="shared" si="8"/>
        <v>8.7873461999999999E-2</v>
      </c>
      <c r="L151">
        <f t="shared" si="9"/>
        <v>6.1820731760899014E-2</v>
      </c>
      <c r="P151">
        <v>0.81898066759402399</v>
      </c>
      <c r="Q151">
        <v>4.6361687920620093E-3</v>
      </c>
    </row>
    <row r="152" spans="1:17" x14ac:dyDescent="0.3">
      <c r="A152">
        <v>7.5571178000000003E-2</v>
      </c>
      <c r="B152" s="1" t="s">
        <v>221</v>
      </c>
      <c r="K152">
        <f t="shared" si="8"/>
        <v>7.7328647E-2</v>
      </c>
      <c r="L152">
        <f t="shared" si="9"/>
        <v>5.8268703705688998E-2</v>
      </c>
      <c r="P152">
        <v>0.83831282899999993</v>
      </c>
      <c r="Q152">
        <v>1.1734047462386002E-2</v>
      </c>
    </row>
    <row r="153" spans="1:17" x14ac:dyDescent="0.3">
      <c r="A153">
        <v>6.5026362000000004E-2</v>
      </c>
      <c r="B153" s="1" t="s">
        <v>222</v>
      </c>
      <c r="K153">
        <f t="shared" si="8"/>
        <v>6.6783831000000002E-2</v>
      </c>
      <c r="L153">
        <f t="shared" si="9"/>
        <v>5.2959193943160995E-2</v>
      </c>
      <c r="P153">
        <v>0.857644990968365</v>
      </c>
      <c r="Q153">
        <v>1.8831926132710994E-2</v>
      </c>
    </row>
    <row r="154" spans="1:17" x14ac:dyDescent="0.3">
      <c r="A154">
        <v>5.6239016000000003E-2</v>
      </c>
      <c r="B154" s="1" t="s">
        <v>223</v>
      </c>
      <c r="K154">
        <f t="shared" si="8"/>
        <v>5.7996485E-2</v>
      </c>
      <c r="L154">
        <f t="shared" si="9"/>
        <v>4.9413343328046991E-2</v>
      </c>
      <c r="P154">
        <v>0.87346221416695891</v>
      </c>
      <c r="Q154">
        <v>2.5917449922842992E-2</v>
      </c>
    </row>
    <row r="155" spans="1:17" x14ac:dyDescent="0.3">
      <c r="A155">
        <v>4.5694199999999997E-2</v>
      </c>
      <c r="B155" s="1" t="s">
        <v>224</v>
      </c>
      <c r="K155">
        <f t="shared" si="8"/>
        <v>4.7451668999999995E-2</v>
      </c>
      <c r="L155">
        <f t="shared" si="9"/>
        <v>4.5861315272837003E-2</v>
      </c>
      <c r="P155">
        <v>0.88927943736555293</v>
      </c>
      <c r="Q155">
        <v>3.1245492005659001E-2</v>
      </c>
    </row>
    <row r="156" spans="1:17" x14ac:dyDescent="0.3">
      <c r="A156">
        <v>3.6906854000000003E-2</v>
      </c>
      <c r="B156" s="1" t="s">
        <v>225</v>
      </c>
      <c r="K156">
        <f t="shared" si="8"/>
        <v>3.8664323E-2</v>
      </c>
      <c r="L156">
        <f t="shared" si="9"/>
        <v>4.055798295040601E-2</v>
      </c>
      <c r="P156">
        <v>0.90158172207557097</v>
      </c>
      <c r="Q156">
        <v>3.6561179208282016E-2</v>
      </c>
    </row>
    <row r="157" spans="1:17" x14ac:dyDescent="0.3">
      <c r="A157">
        <v>2.9876976999999999E-2</v>
      </c>
      <c r="B157" s="1" t="s">
        <v>226</v>
      </c>
      <c r="K157">
        <f t="shared" si="8"/>
        <v>3.1634445999999997E-2</v>
      </c>
      <c r="L157">
        <f t="shared" si="9"/>
        <v>3.5260828068070002E-2</v>
      </c>
      <c r="P157">
        <v>0.915641476029876</v>
      </c>
      <c r="Q157">
        <v>4.3640525558318002E-2</v>
      </c>
    </row>
    <row r="158" spans="1:17" x14ac:dyDescent="0.3">
      <c r="A158" s="1" t="s">
        <v>227</v>
      </c>
      <c r="B158" s="1" t="s">
        <v>228</v>
      </c>
      <c r="K158">
        <f t="shared" si="8"/>
        <v>2.4604569175746899E-2</v>
      </c>
      <c r="L158">
        <f t="shared" si="9"/>
        <v>2.8206191478418005E-2</v>
      </c>
      <c r="P158">
        <v>0.93321616847275901</v>
      </c>
      <c r="Q158">
        <v>5.0732226788547011E-2</v>
      </c>
    </row>
    <row r="159" spans="1:17" x14ac:dyDescent="0.3">
      <c r="A159" s="1" t="s">
        <v>10</v>
      </c>
      <c r="B159" s="1" t="s">
        <v>229</v>
      </c>
      <c r="K159">
        <f t="shared" si="8"/>
        <v>1.58172229543058E-2</v>
      </c>
      <c r="L159">
        <f t="shared" si="9"/>
        <v>2.1145377448668998E-2</v>
      </c>
      <c r="P159">
        <v>0.94551845318277594</v>
      </c>
      <c r="Q159">
        <v>5.7805395698487014E-2</v>
      </c>
    </row>
    <row r="160" spans="1:17" x14ac:dyDescent="0.3">
      <c r="A160">
        <v>8.7873459999999997E-3</v>
      </c>
      <c r="B160" s="1" t="s">
        <v>230</v>
      </c>
      <c r="K160">
        <f t="shared" si="8"/>
        <v>1.0544814999999999E-2</v>
      </c>
      <c r="L160">
        <f t="shared" si="9"/>
        <v>1.585440000643E-2</v>
      </c>
      <c r="P160">
        <v>0.96133567638136996</v>
      </c>
      <c r="Q160">
        <v>6.4890919488620011E-2</v>
      </c>
    </row>
    <row r="161" spans="1:17" x14ac:dyDescent="0.3">
      <c r="A161">
        <v>3.514938E-3</v>
      </c>
      <c r="B161" s="1" t="s">
        <v>231</v>
      </c>
      <c r="K161">
        <f t="shared" si="8"/>
        <v>5.2724069999999998E-3</v>
      </c>
      <c r="L161">
        <f t="shared" si="9"/>
        <v>1.232090427150799E-2</v>
      </c>
      <c r="P161">
        <v>0.97715289957996398</v>
      </c>
      <c r="Q161">
        <v>7.3733924986068997E-2</v>
      </c>
    </row>
    <row r="162" spans="1:17" x14ac:dyDescent="0.3">
      <c r="A162">
        <v>0</v>
      </c>
      <c r="B162" s="1" t="s">
        <v>232</v>
      </c>
      <c r="K162">
        <f t="shared" si="8"/>
        <v>1.757469E-3</v>
      </c>
      <c r="L162">
        <f t="shared" si="9"/>
        <v>5.2786225620480021E-3</v>
      </c>
      <c r="P162">
        <v>0.99121265353426991</v>
      </c>
      <c r="Q162">
        <v>8.081327133610601E-2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center_first_element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2026-05-07T08:10:35Z</dcterms:created>
  <dcterms:modified xsi:type="dcterms:W3CDTF">2026-05-07T09:10:48Z</dcterms:modified>
</cp:coreProperties>
</file>