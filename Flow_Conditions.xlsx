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E099D89D-4503-4491-9830-72C790E2E396}" xr6:coauthVersionLast="47" xr6:coauthVersionMax="47" xr10:uidLastSave="{00000000-0000-0000-0000-000000000000}"/>
  <bookViews>
    <workbookView xWindow="-108" yWindow="-108" windowWidth="23256" windowHeight="12456" xr2:uid="{8CCDB4B7-DCAF-4468-A674-5318AAC9A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2" i="1"/>
  <c r="E3" i="1"/>
  <c r="G3" i="1" s="1"/>
  <c r="E2" i="1"/>
  <c r="G2" i="1" s="1"/>
  <c r="D3" i="1"/>
  <c r="D2" i="1"/>
  <c r="K2" i="1" l="1"/>
  <c r="K3" i="1"/>
</calcChain>
</file>

<file path=xl/sharedStrings.xml><?xml version="1.0" encoding="utf-8"?>
<sst xmlns="http://schemas.openxmlformats.org/spreadsheetml/2006/main" count="18" uniqueCount="18">
  <si>
    <t>Phase 1</t>
  </si>
  <si>
    <t>inboard section</t>
  </si>
  <si>
    <t>outboard section</t>
  </si>
  <si>
    <t>alpha</t>
  </si>
  <si>
    <t>mach</t>
  </si>
  <si>
    <t>reynolds</t>
  </si>
  <si>
    <t>velo (km/hr)</t>
  </si>
  <si>
    <t>Average Speed at the Monaco Grand Prix - Las Motorsport</t>
  </si>
  <si>
    <t>velo (mph)</t>
  </si>
  <si>
    <t>velo (m/s)</t>
  </si>
  <si>
    <t>speed of sound (SL)</t>
  </si>
  <si>
    <t>chord (m)</t>
  </si>
  <si>
    <t>(PDF) OPTIMIZING FORMULA 1 REAR WINGS WITH NACA SERIES AIRFOILS FOR MAXIMUM PERFORMANCE</t>
  </si>
  <si>
    <t>rho (kg/m^3)</t>
  </si>
  <si>
    <t>mu (kg/m*s)</t>
  </si>
  <si>
    <t>Collegue and Forex: cfd</t>
  </si>
  <si>
    <t>f1 ferrari - cfd by 20048548 | SimScale...</t>
  </si>
  <si>
    <t>MSES Mach for Convergence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</si>
</sst>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748128</xdr:colOff>
      <xdr:row>10</xdr:row>
      <xdr:rowOff>97692</xdr:rowOff>
    </xdr:from>
    <xdr:to>
      <xdr:col>4</xdr:col>
      <xdr:colOff>860183</xdr:colOff>
      <xdr:row>25</xdr:row>
      <xdr:rowOff>92416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D8B0B-5051-3427-A7AA-72AE5817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128" y="1953846"/>
          <a:ext cx="5074824" cy="277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1078864</xdr:colOff>
      <xdr:row>8</xdr:row>
      <xdr:rowOff>156307</xdr:rowOff>
    </xdr:from>
    <xdr:to>
      <xdr:col>10</xdr:col>
      <xdr:colOff>566615</xdr:colOff>
      <xdr:row>32</xdr:row>
      <xdr:rowOff>28659</xdr:rowOff>
    </xdr:to>
    <xdr:pic>
      <xdr:nvPicPr>
        <xdr:cNvPr id="3" name="Picture 2" descr="f1 ferrari - cfd by 20048548 | SimScale">
          <a:extLst>
            <a:ext uri="{FF2B5EF4-FFF2-40B4-BE49-F238E27FC236}">
              <a16:creationId xmlns:a16="http://schemas.microsoft.com/office/drawing/2014/main" id="{246CE23F-73E2-D156-5DF7-A962DE31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2326" y="1641230"/>
          <a:ext cx="5691212" cy="4327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kiicelimbekardas.blogspot.com/2016/02/cfd.html" TargetMode="External"/><Relationship Id="rId2" Type="http://schemas.openxmlformats.org/officeDocument/2006/relationships/hyperlink" Target="https://www.researchgate.net/publication/372250505_OPTIMIZING_FORMULA_1_REAR_WINGS_WITH_NACA_SERIES_AIRFOILS_FOR_MAXIMUM_PERFORMANCE" TargetMode="External"/><Relationship Id="rId1" Type="http://schemas.openxmlformats.org/officeDocument/2006/relationships/hyperlink" Target="https://las-motorsport.com/f1/blog/average-speed-at-the-monaco-grand-prix/17236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imscale.com/projects/20048548/f1_ferrari_-_co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7D2A-5B85-4E5B-879F-5CB21C9415B4}">
  <dimension ref="A1:L9"/>
  <sheetViews>
    <sheetView tabSelected="1" topLeftCell="B1" zoomScale="98" workbookViewId="0">
      <selection activeCell="F13" sqref="F13"/>
    </sheetView>
  </sheetViews>
  <sheetFormatPr defaultRowHeight="14.4" x14ac:dyDescent="0.3"/>
  <cols>
    <col min="1" max="11" width="18.109375" customWidth="1"/>
    <col min="12" max="12" width="17.77734375" customWidth="1"/>
  </cols>
  <sheetData>
    <row r="1" spans="1:12" x14ac:dyDescent="0.3">
      <c r="A1" t="s">
        <v>0</v>
      </c>
      <c r="B1" t="s">
        <v>3</v>
      </c>
      <c r="C1" t="s">
        <v>6</v>
      </c>
      <c r="D1" t="s">
        <v>8</v>
      </c>
      <c r="E1" t="s">
        <v>9</v>
      </c>
      <c r="F1" t="s">
        <v>10</v>
      </c>
      <c r="G1" t="s">
        <v>4</v>
      </c>
      <c r="H1" t="s">
        <v>11</v>
      </c>
      <c r="I1" t="s">
        <v>13</v>
      </c>
      <c r="J1" t="s">
        <v>14</v>
      </c>
      <c r="K1" t="s">
        <v>5</v>
      </c>
      <c r="L1" t="s">
        <v>17</v>
      </c>
    </row>
    <row r="2" spans="1:12" x14ac:dyDescent="0.3">
      <c r="A2" t="s">
        <v>1</v>
      </c>
      <c r="B2">
        <v>-5</v>
      </c>
      <c r="C2">
        <v>115</v>
      </c>
      <c r="D2">
        <f>C2*0.621371</f>
        <v>71.457665000000006</v>
      </c>
      <c r="E2">
        <f>C2*1000/3600</f>
        <v>31.944444444444443</v>
      </c>
      <c r="F2">
        <v>340.3</v>
      </c>
      <c r="G2">
        <f>E2/F2</f>
        <v>9.3871420641917253E-2</v>
      </c>
      <c r="H2">
        <v>0.41499999999999998</v>
      </c>
      <c r="I2">
        <v>1.2256</v>
      </c>
      <c r="J2">
        <f>1.7894*10^-5</f>
        <v>1.7894000000000002E-5</v>
      </c>
      <c r="K2">
        <f>I2*E2*H2/J2</f>
        <v>907997.71493858891</v>
      </c>
      <c r="L2">
        <v>0.23</v>
      </c>
    </row>
    <row r="3" spans="1:12" x14ac:dyDescent="0.3">
      <c r="A3" t="s">
        <v>2</v>
      </c>
      <c r="B3">
        <v>0</v>
      </c>
      <c r="C3">
        <v>150</v>
      </c>
      <c r="D3">
        <f>C3*0.621371</f>
        <v>93.205650000000006</v>
      </c>
      <c r="E3">
        <f>C3*1000/3600</f>
        <v>41.666666666666664</v>
      </c>
      <c r="F3">
        <v>340.3</v>
      </c>
      <c r="G3">
        <f>E3/F3</f>
        <v>0.12244098344597902</v>
      </c>
      <c r="H3">
        <v>0.41499999999999998</v>
      </c>
      <c r="I3">
        <v>1.2256</v>
      </c>
      <c r="J3">
        <f>1.7894*10^-5</f>
        <v>1.7894000000000002E-5</v>
      </c>
      <c r="K3">
        <f>I3*E3*H3/J3</f>
        <v>1184344.8455720723</v>
      </c>
      <c r="L3">
        <v>0.25</v>
      </c>
    </row>
    <row r="6" spans="1:12" x14ac:dyDescent="0.3">
      <c r="A6" s="1" t="s">
        <v>7</v>
      </c>
    </row>
    <row r="7" spans="1:12" x14ac:dyDescent="0.3">
      <c r="A7" s="1" t="s">
        <v>12</v>
      </c>
    </row>
    <row r="8" spans="1:12" x14ac:dyDescent="0.3">
      <c r="A8" s="1" t="s">
        <v>15</v>
      </c>
    </row>
    <row r="9" spans="1:12" x14ac:dyDescent="0.3">
      <c r="A9" s="1" t="s">
        <v>16</v>
      </c>
    </row>
  </sheetData>
  <hyperlinks>
    <hyperlink ref="A6" r:id="rId1" display="https://las-motorsport.com/f1/blog/average-speed-at-the-monaco-grand-prix/17236/" xr:uid="{2C32C734-BC64-4C53-943F-24EA6A126D70}"/>
    <hyperlink ref="A7" r:id="rId2" display="https://www.researchgate.net/publication/372250505_OPTIMIZING_FORMULA_1_REAR_WINGS_WITH_NACA_SERIES_AIRFOILS_FOR_MAXIMUM_PERFORMANCE" xr:uid="{1A708796-F89D-4F4E-B0B7-AFE4169F682F}"/>
    <hyperlink ref="A8" r:id="rId3" display="https://sakiicelimbekardas.blogspot.com/2016/02/cfd.html" xr:uid="{F1420793-9189-4994-947F-32F34A5C19D6}"/>
    <hyperlink ref="A9" r:id="rId4" display="https://www.simscale.com/projects/20048548/f1_ferrari_-_copy/" xr:uid="{BF4090AE-D37E-4004-BE17-422218E1C2FD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Sanguinetti, Anthony Joseph</dc:creator>
  <cp:lastModifiedBy>Sanguinetti, Anthony Joseph</cp:lastModifiedBy>
  <dcterms:created xsi:type="dcterms:W3CDTF">2026-05-21T02:51:40Z</dcterms:created>
  <dcterms:modified xsi:type="dcterms:W3CDTF">2026-05-27T08:18:19Z</dcterms:modified>
</cp:coreProperties>
</file>