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CCCA4084-EE23-42D9-81A6-0A06B77C8860}" xr6:coauthVersionLast="47" xr6:coauthVersionMax="47" xr10:uidLastSave="{00000000-0000-0000-0000-000000000000}"/>
  <bookViews>
    <workbookView xWindow="-108" yWindow="-108" windowWidth="23256" windowHeight="12456" xr2:uid="{869078D2-7739-DD4B-86FA-61A2E9C92370}"/>
  </bookViews>
  <sheets>
    <sheet name="outboard_second_e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L1" i="1"/>
  <c r="K1" i="1"/>
</calcChain>
</file>

<file path=xl/sharedStrings.xml><?xml version="1.0" encoding="utf-8"?>
<sst xmlns="http://schemas.openxmlformats.org/spreadsheetml/2006/main" count="171" uniqueCount="161">
  <si>
    <t>0.8963093145869947</t>
  </si>
  <si>
    <t xml:space="preserve"> 0.4302185493270178</t>
  </si>
  <si>
    <t>0.8998242530755711</t>
  </si>
  <si>
    <t xml:space="preserve"> 0.42320097737794155</t>
  </si>
  <si>
    <t>0.9033391915641475</t>
  </si>
  <si>
    <t xml:space="preserve"> 0.4179408871361823</t>
  </si>
  <si>
    <t>0.9103690685413004</t>
  </si>
  <si>
    <t xml:space="preserve"> 0.4126931517746152</t>
  </si>
  <si>
    <t>0.9173989455184532</t>
  </si>
  <si>
    <t xml:space="preserve"> 0.41096037982768224</t>
  </si>
  <si>
    <t>0.9261862917398944</t>
  </si>
  <si>
    <t xml:space="preserve"> 0.4092337853208452</t>
  </si>
  <si>
    <t>0.9349736379613356</t>
  </si>
  <si>
    <t xml:space="preserve"> 0.4092646725213253</t>
  </si>
  <si>
    <t>0.9420035149384887</t>
  </si>
  <si>
    <t xml:space="preserve"> 0.40928938228170936</t>
  </si>
  <si>
    <t>0.9507908611599296</t>
  </si>
  <si>
    <t xml:space="preserve"> 0.40932026948218947</t>
  </si>
  <si>
    <t>0.9595782073813708</t>
  </si>
  <si>
    <t xml:space="preserve"> 0.4093511566826696</t>
  </si>
  <si>
    <t xml:space="preserve"> 0.41113952559046674</t>
  </si>
  <si>
    <t>0.9771528998242531</t>
  </si>
  <si>
    <t xml:space="preserve"> 0.4129278944982639</t>
  </si>
  <si>
    <t xml:space="preserve"> 0.41471008596596504</t>
  </si>
  <si>
    <t>0.9929701230228472</t>
  </si>
  <si>
    <t xml:space="preserve"> 0.41825593658107924</t>
  </si>
  <si>
    <t>1.001757469244288</t>
  </si>
  <si>
    <t xml:space="preserve"> 0.42004430548887645</t>
  </si>
  <si>
    <t>1.0105448154657293</t>
  </si>
  <si>
    <t xml:space="preserve"> 0.4218326743966736</t>
  </si>
  <si>
    <t>1.0175746924428821</t>
  </si>
  <si>
    <t xml:space="preserve"> 0.4236148658643747</t>
  </si>
  <si>
    <t>1.024604569420035</t>
  </si>
  <si>
    <t xml:space="preserve"> 0.42715453903939293</t>
  </si>
  <si>
    <t>1.0351493848857642</t>
  </si>
  <si>
    <t xml:space="preserve"> 0.43070656709460325</t>
  </si>
  <si>
    <t>1.0439367311072056</t>
  </si>
  <si>
    <t xml:space="preserve"> 0.4342524177097174</t>
  </si>
  <si>
    <t>1.0527240773286468</t>
  </si>
  <si>
    <t xml:space="preserve"> 0.4360407866175146</t>
  </si>
  <si>
    <t>1.063268892794376</t>
  </si>
  <si>
    <t xml:space="preserve"> 0.4413502963800419</t>
  </si>
  <si>
    <t>1.0755711775043937</t>
  </si>
  <si>
    <t xml:space="preserve"> 0.4466659835826653</t>
  </si>
  <si>
    <t>1.086115992970123</t>
  </si>
  <si>
    <t xml:space="preserve"> 0.4519754933451926</t>
  </si>
  <si>
    <t>1.1001757469244287</t>
  </si>
  <si>
    <t>1.1089630931458698</t>
  </si>
  <si>
    <t xml:space="preserve"> 0.4608432086030262</t>
  </si>
  <si>
    <t>1.1195079086115993</t>
  </si>
  <si>
    <t xml:space="preserve"> 0.46615271836555355</t>
  </si>
  <si>
    <t>1.1282952548330403</t>
  </si>
  <si>
    <t xml:space="preserve"> 0.47145605068798485</t>
  </si>
  <si>
    <t>1.1388400702987695</t>
  </si>
  <si>
    <t xml:space="preserve"> 0.47676556045051216</t>
  </si>
  <si>
    <t>1.1493848857644993</t>
  </si>
  <si>
    <t xml:space="preserve"> 0.48383255192035657</t>
  </si>
  <si>
    <t>1.1616871704745166</t>
  </si>
  <si>
    <t xml:space="preserve"> 0.4891482391229799</t>
  </si>
  <si>
    <t>1.1704745166959578</t>
  </si>
  <si>
    <t xml:space="preserve"> 0.49445157144541124</t>
  </si>
  <si>
    <t>1.181019332161687</t>
  </si>
  <si>
    <t xml:space="preserve"> 0.4997610812079385</t>
  </si>
  <si>
    <t>1.1898066783831283</t>
  </si>
  <si>
    <t xml:space="preserve"> 0.5050644135303699</t>
  </si>
  <si>
    <t>1.1985940246045694</t>
  </si>
  <si>
    <t>1.2073813708260104</t>
  </si>
  <si>
    <t xml:space="preserve"> 0.5139135964679153</t>
  </si>
  <si>
    <t>1.2161687170474516</t>
  </si>
  <si>
    <t xml:space="preserve"> 0.5209744104976638</t>
  </si>
  <si>
    <t>1.224956063268893</t>
  </si>
  <si>
    <t xml:space="preserve"> 0.5262777428200951</t>
  </si>
  <si>
    <t>1.233743409490334</t>
  </si>
  <si>
    <t xml:space="preserve"> 0.5333385568498434</t>
  </si>
  <si>
    <t>1.2460456942003515</t>
  </si>
  <si>
    <t xml:space="preserve"> 0.5404117257597838</t>
  </si>
  <si>
    <t>1.2601054481546574</t>
  </si>
  <si>
    <t xml:space="preserve"> 0.5492485538171374</t>
  </si>
  <si>
    <t>1.2741652021089631</t>
  </si>
  <si>
    <t xml:space="preserve"> 0.5580853818744909</t>
  </si>
  <si>
    <t>1.2847100175746924</t>
  </si>
  <si>
    <t xml:space="preserve"> 0.5651523733443353</t>
  </si>
  <si>
    <t>1.2917398945518452</t>
  </si>
  <si>
    <t xml:space="preserve"> 0.5686920465193535</t>
  </si>
  <si>
    <t>1.2987697715289983</t>
  </si>
  <si>
    <t xml:space="preserve"> 0.5722317196943717</t>
  </si>
  <si>
    <t>1.3057996485061512</t>
  </si>
  <si>
    <t>1.3022847100175747</t>
  </si>
  <si>
    <t xml:space="preserve"> 0.5863039282331003</t>
  </si>
  <si>
    <t>1.2952548330404219</t>
  </si>
  <si>
    <t>1.2882249560632688</t>
  </si>
  <si>
    <t xml:space="preserve"> 0.5774671001757468</t>
  </si>
  <si>
    <t>1.2776801405975395</t>
  </si>
  <si>
    <t xml:space="preserve"> 0.5721575904132195</t>
  </si>
  <si>
    <t>1.2688927943760984</t>
  </si>
  <si>
    <t xml:space="preserve"> 0.5686117397981052</t>
  </si>
  <si>
    <t>1.256590509666081</t>
  </si>
  <si>
    <t xml:space="preserve"> 0.5632960525954819</t>
  </si>
  <si>
    <t xml:space="preserve"> 0.5597440245402717</t>
  </si>
  <si>
    <t xml:space="preserve"> 0.5561858190449653</t>
  </si>
  <si>
    <t>1.2231985940246046</t>
  </si>
  <si>
    <t xml:space="preserve"> 0.5526337909897552</t>
  </si>
  <si>
    <t>1.2091388400702987</t>
  </si>
  <si>
    <t xml:space="preserve"> 0.5490694080543528</t>
  </si>
  <si>
    <t>1.1915641476274166</t>
  </si>
  <si>
    <t xml:space="preserve"> 0.5437351885314414</t>
  </si>
  <si>
    <t>1.1792618629173988</t>
  </si>
  <si>
    <t xml:space="preserve"> 0.5401769830361351</t>
  </si>
  <si>
    <t>1.165202108963093</t>
  </si>
  <si>
    <t xml:space="preserve"> 0.5383700818080499</t>
  </si>
  <si>
    <t>1.1511423550087874</t>
  </si>
  <si>
    <t xml:space="preserve"> 0.5348056988726477</t>
  </si>
  <si>
    <t>1.1353251318101931</t>
  </si>
  <si>
    <t xml:space="preserve"> 0.5312351384971494</t>
  </si>
  <si>
    <t>1.1212653778558874</t>
  </si>
  <si>
    <t>1.1054481546572934</t>
  </si>
  <si>
    <t xml:space="preserve"> 0.5241001951862487</t>
  </si>
  <si>
    <t>1.0878734622144113</t>
  </si>
  <si>
    <t xml:space="preserve"> 0.5222809390779715</t>
  </si>
  <si>
    <t>1.0685413005272406</t>
  </si>
  <si>
    <t xml:space="preserve"> 0.5186980238222811</t>
  </si>
  <si>
    <t>1.054481546572935</t>
  </si>
  <si>
    <t>1.0298769771528997</t>
  </si>
  <si>
    <t xml:space="preserve"> 0.5097747116035833</t>
  </si>
  <si>
    <t>1.0123022847100176</t>
  </si>
  <si>
    <t xml:space="preserve"> 0.5061979737879891</t>
  </si>
  <si>
    <t xml:space="preserve"> 0.5044034274400959</t>
  </si>
  <si>
    <t>0.9912126537785588</t>
  </si>
  <si>
    <t xml:space="preserve"> 0.5008513993848857</t>
  </si>
  <si>
    <t>0.9806678383128296</t>
  </si>
  <si>
    <t xml:space="preserve"> 0.49729937132967544</t>
  </si>
  <si>
    <t>0.9718804920913884</t>
  </si>
  <si>
    <t xml:space="preserve"> 0.4937535207145612</t>
  </si>
  <si>
    <t xml:space="preserve"> 0.48843783351193787</t>
  </si>
  <si>
    <t xml:space="preserve"> 0.4848919828968236</t>
  </si>
  <si>
    <t>0.9402460456942003</t>
  </si>
  <si>
    <t xml:space="preserve"> 0.48133995484161335</t>
  </si>
  <si>
    <t xml:space="preserve"> 0.4778064591066912</t>
  </si>
  <si>
    <t>0.9279437609841827</t>
  </si>
  <si>
    <t xml:space="preserve"> 0.47426678593167293</t>
  </si>
  <si>
    <t xml:space="preserve"> 0.47073329019675075</t>
  </si>
  <si>
    <t>0.9191564147627418</t>
  </si>
  <si>
    <t xml:space="preserve"> 0.4672059719019246</t>
  </si>
  <si>
    <t>0.9138840070298768</t>
  </si>
  <si>
    <t xml:space="preserve"> 0.46367247616700236</t>
  </si>
  <si>
    <t xml:space="preserve"> 0.4601451578721762</t>
  </si>
  <si>
    <t xml:space="preserve"> 0.45133303957520676</t>
  </si>
  <si>
    <t xml:space="preserve"> 0.4478057212803806</t>
  </si>
  <si>
    <t>0.8980667838312828</t>
  </si>
  <si>
    <t xml:space="preserve"> 0.4425270987183333</t>
  </si>
  <si>
    <t xml:space="preserve"> 0.4372484761562861</t>
  </si>
  <si>
    <t>&lt;--</t>
  </si>
  <si>
    <t>webplot digitizer points</t>
  </si>
  <si>
    <t>webplot digitizer points with LE at origin</t>
  </si>
  <si>
    <t>&gt;</t>
  </si>
  <si>
    <t>LE to lower surface to TE</t>
  </si>
  <si>
    <t>to upper surface to LE</t>
  </si>
  <si>
    <t>JavaFoil coords</t>
  </si>
  <si>
    <t>TE to upper surface to LE</t>
  </si>
  <si>
    <t>to lower surface to TE</t>
  </si>
  <si>
    <t>AoA = 19.75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</si>
</sst>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821765</xdr:colOff>
      <xdr:row>3</xdr:row>
      <xdr:rowOff>14941</xdr:rowOff>
    </xdr:from>
    <xdr:to>
      <xdr:col>30</xdr:col>
      <xdr:colOff>130033</xdr:colOff>
      <xdr:row>49</xdr:row>
      <xdr:rowOff>154695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64BC29-04BE-5995-9885-E879DDC0E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9765" y="597647"/>
          <a:ext cx="10379680" cy="9074577"/>
        </a:xfrm>
        <a:prstGeom prst="rect">
          <a:avLst/>
        </a:prstGeom>
      </xdr:spPr>
    </xdr:pic>
    <xdr:clientData/>
  </xdr:twoCellAnchor>
  <xdr:twoCellAnchor editAs="oneCell">
    <xdr:from>
      <xdr:col>30</xdr:col>
      <xdr:colOff>717766</xdr:colOff>
      <xdr:row>2</xdr:row>
      <xdr:rowOff>105176</xdr:rowOff>
    </xdr:from>
    <xdr:to>
      <xdr:col>43</xdr:col>
      <xdr:colOff>26034</xdr:colOff>
      <xdr:row>48</xdr:row>
      <xdr:rowOff>191413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4FA8CF-70F1-C0FC-4EBD-D5CCA6A8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67178" y="493647"/>
          <a:ext cx="10379680" cy="902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1E03-0B9B-724E-A7F5-61B9CDD7DDD4}">
  <dimension ref="A1:U86"/>
  <sheetViews>
    <sheetView tabSelected="1" topLeftCell="M1" zoomScale="51" workbookViewId="0">
      <selection activeCell="U2" sqref="U2"/>
    </sheetView>
  </sheetViews>
  <sheetFormatPr defaultColWidth="11.19921875" defaultRowHeight="15.6" x14ac:dyDescent="0.3"/>
  <sheetData>
    <row r="1" spans="1:21" x14ac:dyDescent="0.3">
      <c r="A1" s="1" t="s">
        <v>0</v>
      </c>
      <c r="B1" s="1" t="s">
        <v>1</v>
      </c>
      <c r="D1" t="s">
        <v>151</v>
      </c>
      <c r="E1" t="s">
        <v>152</v>
      </c>
      <c r="K1">
        <f>A1-$A$1</f>
        <v>0</v>
      </c>
      <c r="L1">
        <f>B1-$B$1</f>
        <v>0</v>
      </c>
      <c r="P1">
        <v>0.40949033391915601</v>
      </c>
      <c r="Q1">
        <v>0.14731032524969001</v>
      </c>
      <c r="U1" t="s">
        <v>160</v>
      </c>
    </row>
    <row r="2" spans="1:21" x14ac:dyDescent="0.3">
      <c r="A2" s="1" t="s">
        <v>2</v>
      </c>
      <c r="B2" s="1" t="s">
        <v>3</v>
      </c>
      <c r="K2">
        <f t="shared" ref="K2:K65" si="0">A2-$A$1</f>
        <v>3.5149384885769797E-3</v>
      </c>
      <c r="L2">
        <f t="shared" ref="L2:L65" si="1">B2-$B$1</f>
        <v>-7.0175719490759847E-3</v>
      </c>
      <c r="P2">
        <v>0.40597539543057604</v>
      </c>
      <c r="Q2">
        <v>0.15608537890608298</v>
      </c>
    </row>
    <row r="3" spans="1:21" x14ac:dyDescent="0.3">
      <c r="A3" s="1" t="s">
        <v>4</v>
      </c>
      <c r="B3" s="1" t="s">
        <v>5</v>
      </c>
      <c r="G3" s="2" t="s">
        <v>153</v>
      </c>
      <c r="H3" s="2"/>
      <c r="I3" s="2"/>
      <c r="J3" s="2" t="s">
        <v>154</v>
      </c>
      <c r="K3">
        <f t="shared" si="0"/>
        <v>7.0298769771529601E-3</v>
      </c>
      <c r="L3">
        <f t="shared" si="1"/>
        <v>-1.2277662190834981E-2</v>
      </c>
      <c r="P3">
        <v>0.39894551845342607</v>
      </c>
      <c r="Q3">
        <v>0.15078822402374803</v>
      </c>
    </row>
    <row r="4" spans="1:21" x14ac:dyDescent="0.3">
      <c r="A4" s="1" t="s">
        <v>6</v>
      </c>
      <c r="B4" s="1" t="s">
        <v>7</v>
      </c>
      <c r="K4">
        <f t="shared" si="0"/>
        <v>1.405975395430592E-2</v>
      </c>
      <c r="L4">
        <f t="shared" si="1"/>
        <v>-1.7525397552401956E-2</v>
      </c>
      <c r="N4" t="s">
        <v>157</v>
      </c>
      <c r="P4">
        <v>0.3919156414762659</v>
      </c>
      <c r="Q4">
        <v>0.14724855084872901</v>
      </c>
    </row>
    <row r="5" spans="1:21" x14ac:dyDescent="0.3">
      <c r="A5" s="1" t="s">
        <v>8</v>
      </c>
      <c r="B5" s="1" t="s">
        <v>9</v>
      </c>
      <c r="F5" t="s">
        <v>155</v>
      </c>
      <c r="K5">
        <f t="shared" si="0"/>
        <v>2.1089630931458991E-2</v>
      </c>
      <c r="L5">
        <f t="shared" si="1"/>
        <v>-1.9258169499334954E-2</v>
      </c>
      <c r="N5" t="s">
        <v>158</v>
      </c>
      <c r="P5">
        <v>0.38137082601053596</v>
      </c>
      <c r="Q5">
        <v>0.14193904108620203</v>
      </c>
    </row>
    <row r="6" spans="1:21" x14ac:dyDescent="0.3">
      <c r="A6" s="1" t="s">
        <v>10</v>
      </c>
      <c r="B6" s="1" t="s">
        <v>11</v>
      </c>
      <c r="F6" t="s">
        <v>156</v>
      </c>
      <c r="K6">
        <f t="shared" si="0"/>
        <v>2.9876977152899942E-2</v>
      </c>
      <c r="L6">
        <f t="shared" si="1"/>
        <v>-2.0984764006171996E-2</v>
      </c>
      <c r="N6" t="s">
        <v>159</v>
      </c>
      <c r="P6">
        <v>0.37258347978909589</v>
      </c>
      <c r="Q6">
        <v>0.138393190471088</v>
      </c>
    </row>
    <row r="7" spans="1:21" x14ac:dyDescent="0.3">
      <c r="A7" s="1" t="s">
        <v>12</v>
      </c>
      <c r="B7" s="1" t="s">
        <v>13</v>
      </c>
      <c r="K7">
        <f t="shared" si="0"/>
        <v>3.8664323374341003E-2</v>
      </c>
      <c r="L7">
        <f t="shared" si="1"/>
        <v>-2.0953876805691996E-2</v>
      </c>
      <c r="P7">
        <v>0.36028119507908607</v>
      </c>
      <c r="Q7">
        <v>0.13307750326846401</v>
      </c>
    </row>
    <row r="8" spans="1:21" x14ac:dyDescent="0.3">
      <c r="A8" s="1" t="s">
        <v>14</v>
      </c>
      <c r="B8" s="1" t="s">
        <v>15</v>
      </c>
      <c r="K8">
        <f t="shared" si="0"/>
        <v>4.5694200351493963E-2</v>
      </c>
      <c r="L8">
        <f t="shared" si="1"/>
        <v>-2.092916704530795E-2</v>
      </c>
      <c r="P8">
        <v>0.34973637961335591</v>
      </c>
      <c r="Q8">
        <v>0.12952547521325397</v>
      </c>
    </row>
    <row r="9" spans="1:21" x14ac:dyDescent="0.3">
      <c r="A9" s="1" t="s">
        <v>16</v>
      </c>
      <c r="B9" s="1" t="s">
        <v>17</v>
      </c>
      <c r="K9">
        <f t="shared" si="0"/>
        <v>5.4481546572934914E-2</v>
      </c>
      <c r="L9">
        <f t="shared" si="1"/>
        <v>-2.0898279844827949E-2</v>
      </c>
      <c r="P9">
        <v>0.33743409490333587</v>
      </c>
      <c r="Q9">
        <v>0.12596726971794803</v>
      </c>
    </row>
    <row r="10" spans="1:21" x14ac:dyDescent="0.3">
      <c r="A10" s="1" t="s">
        <v>18</v>
      </c>
      <c r="B10" s="1" t="s">
        <v>19</v>
      </c>
      <c r="K10">
        <f t="shared" si="0"/>
        <v>6.3268892794375975E-2</v>
      </c>
      <c r="L10">
        <f t="shared" si="1"/>
        <v>-2.0867392644347948E-2</v>
      </c>
      <c r="P10">
        <v>0.32688927943760593</v>
      </c>
      <c r="Q10">
        <v>0.12241524166273798</v>
      </c>
    </row>
    <row r="11" spans="1:21" x14ac:dyDescent="0.3">
      <c r="A11">
        <v>0.96836555360281196</v>
      </c>
      <c r="B11" s="1" t="s">
        <v>20</v>
      </c>
      <c r="K11">
        <f t="shared" si="0"/>
        <v>7.2056239015817924E-2</v>
      </c>
      <c r="L11">
        <f t="shared" si="1"/>
        <v>-1.907902373655096E-2</v>
      </c>
      <c r="P11">
        <v>0.31282952548329601</v>
      </c>
      <c r="Q11">
        <v>0.11885085872733503</v>
      </c>
    </row>
    <row r="12" spans="1:21" x14ac:dyDescent="0.3">
      <c r="A12" s="1" t="s">
        <v>21</v>
      </c>
      <c r="B12" s="1" t="s">
        <v>22</v>
      </c>
      <c r="K12">
        <f t="shared" si="0"/>
        <v>8.0843585237258986E-2</v>
      </c>
      <c r="L12">
        <f t="shared" si="1"/>
        <v>-1.7290654828753971E-2</v>
      </c>
      <c r="P12">
        <v>0.29525483304041589</v>
      </c>
      <c r="Q12">
        <v>0.11351663920442401</v>
      </c>
    </row>
    <row r="13" spans="1:21" x14ac:dyDescent="0.3">
      <c r="A13">
        <v>0.98418277680140598</v>
      </c>
      <c r="B13" s="1" t="s">
        <v>23</v>
      </c>
      <c r="K13">
        <f t="shared" si="0"/>
        <v>8.7873462214411946E-2</v>
      </c>
      <c r="L13">
        <f t="shared" si="1"/>
        <v>-1.5508463361051994E-2</v>
      </c>
      <c r="P13">
        <v>0.28295254833039607</v>
      </c>
      <c r="Q13">
        <v>0.10995843370911806</v>
      </c>
    </row>
    <row r="14" spans="1:21" x14ac:dyDescent="0.3">
      <c r="A14" s="1" t="s">
        <v>24</v>
      </c>
      <c r="B14" s="1" t="s">
        <v>25</v>
      </c>
      <c r="K14">
        <f t="shared" si="0"/>
        <v>9.6660808435853007E-2</v>
      </c>
      <c r="L14">
        <f t="shared" si="1"/>
        <v>-1.1962612745937962E-2</v>
      </c>
      <c r="P14">
        <v>0.26889279437609592</v>
      </c>
      <c r="Q14">
        <v>0.10815153248103204</v>
      </c>
    </row>
    <row r="15" spans="1:21" x14ac:dyDescent="0.3">
      <c r="A15" s="1" t="s">
        <v>26</v>
      </c>
      <c r="B15" s="1" t="s">
        <v>27</v>
      </c>
      <c r="K15">
        <f t="shared" si="0"/>
        <v>0.10544815465728608</v>
      </c>
      <c r="L15">
        <f t="shared" si="1"/>
        <v>-1.0174243838140973E-2</v>
      </c>
      <c r="P15">
        <v>0.25483304042178601</v>
      </c>
      <c r="Q15">
        <v>0.10458714954562998</v>
      </c>
    </row>
    <row r="16" spans="1:21" x14ac:dyDescent="0.3">
      <c r="A16" s="1" t="s">
        <v>28</v>
      </c>
      <c r="B16" s="1" t="s">
        <v>29</v>
      </c>
      <c r="K16">
        <f t="shared" si="0"/>
        <v>0.11423550087872592</v>
      </c>
      <c r="L16">
        <f t="shared" si="1"/>
        <v>-8.3858749303439839E-3</v>
      </c>
      <c r="P16">
        <v>0.23901581722319598</v>
      </c>
      <c r="Q16">
        <v>0.10101658917013201</v>
      </c>
    </row>
    <row r="17" spans="1:17" x14ac:dyDescent="0.3">
      <c r="A17" s="1" t="s">
        <v>30</v>
      </c>
      <c r="B17" s="1" t="s">
        <v>31</v>
      </c>
      <c r="K17">
        <f t="shared" si="0"/>
        <v>0.12126537785588587</v>
      </c>
      <c r="L17">
        <f t="shared" si="1"/>
        <v>-6.6036834626429508E-3</v>
      </c>
      <c r="P17">
        <v>0.22495606326888606</v>
      </c>
      <c r="Q17">
        <v>9.7452206234730054E-2</v>
      </c>
    </row>
    <row r="18" spans="1:17" x14ac:dyDescent="0.3">
      <c r="A18" s="1" t="s">
        <v>32</v>
      </c>
      <c r="B18" s="1" t="s">
        <v>33</v>
      </c>
      <c r="K18">
        <f t="shared" si="0"/>
        <v>0.12829525483303605</v>
      </c>
      <c r="L18">
        <f t="shared" si="1"/>
        <v>-3.0640102876249853E-3</v>
      </c>
      <c r="P18">
        <v>0.20913884007029604</v>
      </c>
      <c r="Q18">
        <v>9.3881645859230978E-2</v>
      </c>
    </row>
    <row r="19" spans="1:17" x14ac:dyDescent="0.3">
      <c r="A19" s="1" t="s">
        <v>34</v>
      </c>
      <c r="B19" s="1" t="s">
        <v>35</v>
      </c>
      <c r="K19">
        <f t="shared" si="0"/>
        <v>0.13884007029876599</v>
      </c>
      <c r="L19">
        <f t="shared" si="1"/>
        <v>4.8801776758600202E-4</v>
      </c>
      <c r="P19">
        <v>0.19156414762741591</v>
      </c>
      <c r="Q19">
        <v>9.2062389750954043E-2</v>
      </c>
    </row>
    <row r="20" spans="1:17" x14ac:dyDescent="0.3">
      <c r="A20" s="1" t="s">
        <v>36</v>
      </c>
      <c r="B20" s="1" t="s">
        <v>37</v>
      </c>
      <c r="K20">
        <f t="shared" si="0"/>
        <v>0.14762741652020606</v>
      </c>
      <c r="L20">
        <f t="shared" si="1"/>
        <v>4.0338683827000343E-3</v>
      </c>
      <c r="P20">
        <v>0.17223198594024591</v>
      </c>
      <c r="Q20">
        <v>8.8479474495264054E-2</v>
      </c>
    </row>
    <row r="21" spans="1:17" x14ac:dyDescent="0.3">
      <c r="A21" s="1" t="s">
        <v>38</v>
      </c>
      <c r="B21" s="1" t="s">
        <v>39</v>
      </c>
      <c r="K21">
        <f t="shared" si="0"/>
        <v>0.1564147627416459</v>
      </c>
      <c r="L21">
        <f t="shared" si="1"/>
        <v>5.8222372904970232E-3</v>
      </c>
      <c r="P21">
        <v>0.158172231985936</v>
      </c>
      <c r="Q21">
        <v>8.4915091559861988E-2</v>
      </c>
    </row>
    <row r="22" spans="1:17" x14ac:dyDescent="0.3">
      <c r="A22" s="1" t="s">
        <v>40</v>
      </c>
      <c r="B22" s="1" t="s">
        <v>41</v>
      </c>
      <c r="K22">
        <f t="shared" si="0"/>
        <v>0.16695957820737606</v>
      </c>
      <c r="L22">
        <f t="shared" si="1"/>
        <v>1.1131747053023999E-2</v>
      </c>
      <c r="P22">
        <v>0.13356766256589592</v>
      </c>
      <c r="Q22">
        <v>7.9556162276566034E-2</v>
      </c>
    </row>
    <row r="23" spans="1:17" x14ac:dyDescent="0.3">
      <c r="A23" s="1" t="s">
        <v>42</v>
      </c>
      <c r="B23" s="1" t="s">
        <v>43</v>
      </c>
      <c r="K23">
        <f t="shared" si="0"/>
        <v>0.17926186291739588</v>
      </c>
      <c r="L23">
        <f t="shared" si="1"/>
        <v>1.6447434255648041E-2</v>
      </c>
      <c r="P23">
        <v>0.11599297012301601</v>
      </c>
      <c r="Q23">
        <v>7.5979424460972056E-2</v>
      </c>
    </row>
    <row r="24" spans="1:17" x14ac:dyDescent="0.3">
      <c r="A24" s="1" t="s">
        <v>44</v>
      </c>
      <c r="B24" s="1" t="s">
        <v>45</v>
      </c>
      <c r="K24">
        <f t="shared" si="0"/>
        <v>0.18980667838312604</v>
      </c>
      <c r="L24">
        <f t="shared" si="1"/>
        <v>2.1756944018175017E-2</v>
      </c>
      <c r="P24">
        <v>0.10544815465728608</v>
      </c>
      <c r="Q24">
        <v>7.4184878113078057E-2</v>
      </c>
    </row>
    <row r="25" spans="1:17" x14ac:dyDescent="0.3">
      <c r="A25" s="1" t="s">
        <v>46</v>
      </c>
      <c r="B25">
        <v>0.45729735798791199</v>
      </c>
      <c r="K25">
        <f t="shared" si="0"/>
        <v>0.20386643233742596</v>
      </c>
      <c r="L25">
        <f t="shared" si="1"/>
        <v>2.7078808660895015E-2</v>
      </c>
      <c r="P25">
        <v>9.4903339191564018E-2</v>
      </c>
      <c r="Q25">
        <v>7.0632850057868013E-2</v>
      </c>
    </row>
    <row r="26" spans="1:17" x14ac:dyDescent="0.3">
      <c r="A26" s="1" t="s">
        <v>47</v>
      </c>
      <c r="B26" s="1" t="s">
        <v>48</v>
      </c>
      <c r="K26">
        <f t="shared" si="0"/>
        <v>0.21265377855886602</v>
      </c>
      <c r="L26">
        <f t="shared" si="1"/>
        <v>3.0624659276009047E-2</v>
      </c>
      <c r="P26">
        <v>8.4358523725834966E-2</v>
      </c>
      <c r="Q26">
        <v>6.7080822002658025E-2</v>
      </c>
    </row>
    <row r="27" spans="1:17" x14ac:dyDescent="0.3">
      <c r="A27" s="1" t="s">
        <v>49</v>
      </c>
      <c r="B27" s="1" t="s">
        <v>50</v>
      </c>
      <c r="K27">
        <f t="shared" si="0"/>
        <v>0.22319859402459596</v>
      </c>
      <c r="L27">
        <f t="shared" si="1"/>
        <v>3.5934169038536024E-2</v>
      </c>
      <c r="P27">
        <v>7.5571177504394016E-2</v>
      </c>
      <c r="Q27">
        <v>6.3534971387544048E-2</v>
      </c>
    </row>
    <row r="28" spans="1:17" x14ac:dyDescent="0.3">
      <c r="A28" s="1" t="s">
        <v>51</v>
      </c>
      <c r="B28" s="1" t="s">
        <v>52</v>
      </c>
      <c r="K28">
        <f t="shared" si="0"/>
        <v>0.23198594024604602</v>
      </c>
      <c r="L28">
        <f t="shared" si="1"/>
        <v>4.1237501360967044E-2</v>
      </c>
      <c r="P28">
        <v>6.3268892794375975E-2</v>
      </c>
      <c r="Q28">
        <v>5.8219284184920006E-2</v>
      </c>
    </row>
    <row r="29" spans="1:17" x14ac:dyDescent="0.3">
      <c r="A29" s="1" t="s">
        <v>53</v>
      </c>
      <c r="B29" s="1" t="s">
        <v>54</v>
      </c>
      <c r="K29">
        <f t="shared" si="0"/>
        <v>0.24253075571176597</v>
      </c>
      <c r="L29">
        <f t="shared" si="1"/>
        <v>4.6547011123495019E-2</v>
      </c>
      <c r="P29">
        <v>5.4481546572934914E-2</v>
      </c>
      <c r="Q29">
        <v>5.4673433569806029E-2</v>
      </c>
    </row>
    <row r="30" spans="1:17" x14ac:dyDescent="0.3">
      <c r="A30" s="1" t="s">
        <v>55</v>
      </c>
      <c r="B30" s="1" t="s">
        <v>56</v>
      </c>
      <c r="K30">
        <f t="shared" si="0"/>
        <v>0.25307557117749591</v>
      </c>
      <c r="L30">
        <f t="shared" si="1"/>
        <v>5.3614002593339039E-2</v>
      </c>
      <c r="P30">
        <v>4.3936731107205973E-2</v>
      </c>
      <c r="Q30">
        <v>5.1121405514596041E-2</v>
      </c>
    </row>
    <row r="31" spans="1:17" x14ac:dyDescent="0.3">
      <c r="A31" s="1" t="s">
        <v>57</v>
      </c>
      <c r="B31" s="1" t="s">
        <v>58</v>
      </c>
      <c r="K31">
        <f t="shared" si="0"/>
        <v>0.26537785588751595</v>
      </c>
      <c r="L31">
        <f t="shared" si="1"/>
        <v>5.8929689795962026E-2</v>
      </c>
      <c r="P31">
        <v>3.8664323374341003E-2</v>
      </c>
      <c r="Q31">
        <v>4.7587909779674031E-2</v>
      </c>
    </row>
    <row r="32" spans="1:17" x14ac:dyDescent="0.3">
      <c r="A32" s="1" t="s">
        <v>59</v>
      </c>
      <c r="B32" s="1" t="s">
        <v>60</v>
      </c>
      <c r="K32">
        <f t="shared" si="0"/>
        <v>0.27416520210895601</v>
      </c>
      <c r="L32">
        <f t="shared" si="1"/>
        <v>6.4233022118394045E-2</v>
      </c>
      <c r="P32">
        <v>3.1634446397187932E-2</v>
      </c>
      <c r="Q32">
        <v>4.4048236604655011E-2</v>
      </c>
    </row>
    <row r="33" spans="1:17" x14ac:dyDescent="0.3">
      <c r="A33" s="1" t="s">
        <v>61</v>
      </c>
      <c r="B33" s="1" t="s">
        <v>62</v>
      </c>
      <c r="K33">
        <f t="shared" si="0"/>
        <v>0.28471001757468595</v>
      </c>
      <c r="L33">
        <f t="shared" si="1"/>
        <v>6.9542531880921021E-2</v>
      </c>
      <c r="P33">
        <v>2.6362038664323961E-2</v>
      </c>
      <c r="Q33">
        <v>4.0514740869733001E-2</v>
      </c>
    </row>
    <row r="34" spans="1:17" x14ac:dyDescent="0.3">
      <c r="A34" s="1" t="s">
        <v>63</v>
      </c>
      <c r="B34" s="1" t="s">
        <v>64</v>
      </c>
      <c r="K34">
        <f t="shared" si="0"/>
        <v>0.29349736379612601</v>
      </c>
      <c r="L34">
        <f t="shared" si="1"/>
        <v>7.4845864203352042E-2</v>
      </c>
      <c r="P34">
        <v>2.2847100175746982E-2</v>
      </c>
      <c r="Q34">
        <v>3.6987422574907003E-2</v>
      </c>
    </row>
    <row r="35" spans="1:17" x14ac:dyDescent="0.3">
      <c r="A35" s="1" t="s">
        <v>65</v>
      </c>
      <c r="B35">
        <v>0.50861026414548405</v>
      </c>
      <c r="K35">
        <f t="shared" si="0"/>
        <v>0.30228471001756607</v>
      </c>
      <c r="L35">
        <f t="shared" si="1"/>
        <v>7.8391714818467073E-2</v>
      </c>
      <c r="P35">
        <v>1.7574692442882012E-2</v>
      </c>
      <c r="Q35">
        <v>3.3453926839985049E-2</v>
      </c>
    </row>
    <row r="36" spans="1:17" x14ac:dyDescent="0.3">
      <c r="A36" s="1" t="s">
        <v>66</v>
      </c>
      <c r="B36" s="1" t="s">
        <v>67</v>
      </c>
      <c r="K36">
        <f t="shared" si="0"/>
        <v>0.3110720562390159</v>
      </c>
      <c r="L36">
        <f t="shared" si="1"/>
        <v>8.3695047140898038E-2</v>
      </c>
      <c r="P36">
        <v>1.405975395430592E-2</v>
      </c>
      <c r="Q36">
        <v>2.992660854515905E-2</v>
      </c>
    </row>
    <row r="37" spans="1:17" x14ac:dyDescent="0.3">
      <c r="A37" s="1" t="s">
        <v>68</v>
      </c>
      <c r="B37" s="1" t="s">
        <v>69</v>
      </c>
      <c r="K37">
        <f t="shared" si="0"/>
        <v>0.31985940246045597</v>
      </c>
      <c r="L37">
        <f t="shared" si="1"/>
        <v>9.0755861170646046E-2</v>
      </c>
      <c r="P37">
        <v>1.054481546572994E-2</v>
      </c>
      <c r="Q37">
        <v>2.6399290250333052E-2</v>
      </c>
    </row>
    <row r="38" spans="1:17" x14ac:dyDescent="0.3">
      <c r="A38" s="1" t="s">
        <v>70</v>
      </c>
      <c r="B38" s="1" t="s">
        <v>71</v>
      </c>
      <c r="K38">
        <f t="shared" si="0"/>
        <v>0.32864674868189603</v>
      </c>
      <c r="L38">
        <f t="shared" si="1"/>
        <v>9.605919349307801E-2</v>
      </c>
      <c r="P38">
        <v>7.0298769771529601E-3</v>
      </c>
      <c r="Q38">
        <v>2.1114490248189011E-2</v>
      </c>
    </row>
    <row r="39" spans="1:17" x14ac:dyDescent="0.3">
      <c r="A39" s="1" t="s">
        <v>72</v>
      </c>
      <c r="B39" s="1" t="s">
        <v>73</v>
      </c>
      <c r="K39">
        <f t="shared" si="0"/>
        <v>0.33743409490333587</v>
      </c>
      <c r="L39">
        <f t="shared" si="1"/>
        <v>0.10312000752282602</v>
      </c>
      <c r="P39">
        <v>3.5149384885769797E-3</v>
      </c>
      <c r="Q39">
        <v>1.7587171953363012E-2</v>
      </c>
    </row>
    <row r="40" spans="1:17" x14ac:dyDescent="0.3">
      <c r="A40" s="1" t="s">
        <v>74</v>
      </c>
      <c r="B40" s="1" t="s">
        <v>75</v>
      </c>
      <c r="K40">
        <f t="shared" si="0"/>
        <v>0.34973637961335591</v>
      </c>
      <c r="L40">
        <f t="shared" si="1"/>
        <v>0.11019317643276605</v>
      </c>
      <c r="P40">
        <v>1.7574692442879902E-3</v>
      </c>
      <c r="Q40">
        <v>1.2308549391316037E-2</v>
      </c>
    </row>
    <row r="41" spans="1:17" x14ac:dyDescent="0.3">
      <c r="A41" s="1" t="s">
        <v>76</v>
      </c>
      <c r="B41" s="1" t="s">
        <v>77</v>
      </c>
      <c r="K41">
        <f t="shared" si="0"/>
        <v>0.36379613356765605</v>
      </c>
      <c r="L41">
        <f t="shared" si="1"/>
        <v>0.11903000449012002</v>
      </c>
      <c r="P41">
        <v>0</v>
      </c>
      <c r="Q41">
        <v>7.0299268292690065E-3</v>
      </c>
    </row>
    <row r="42" spans="1:17" x14ac:dyDescent="0.3">
      <c r="A42" s="1" t="s">
        <v>78</v>
      </c>
      <c r="B42" s="1" t="s">
        <v>79</v>
      </c>
      <c r="K42">
        <f t="shared" si="0"/>
        <v>0.37785588752196597</v>
      </c>
      <c r="L42">
        <f t="shared" si="1"/>
        <v>0.127866832547473</v>
      </c>
      <c r="P42">
        <v>0</v>
      </c>
      <c r="Q42">
        <v>0</v>
      </c>
    </row>
    <row r="43" spans="1:17" x14ac:dyDescent="0.3">
      <c r="A43" s="1" t="s">
        <v>80</v>
      </c>
      <c r="B43" s="1" t="s">
        <v>81</v>
      </c>
      <c r="K43">
        <f t="shared" si="0"/>
        <v>0.38840070298769591</v>
      </c>
      <c r="L43">
        <f t="shared" si="1"/>
        <v>0.13493382401731802</v>
      </c>
      <c r="P43">
        <v>3.5149384885769797E-3</v>
      </c>
      <c r="Q43">
        <v>-7.0175719490759847E-3</v>
      </c>
    </row>
    <row r="44" spans="1:17" x14ac:dyDescent="0.3">
      <c r="A44" s="1" t="s">
        <v>82</v>
      </c>
      <c r="B44" s="1" t="s">
        <v>83</v>
      </c>
      <c r="K44">
        <f t="shared" si="0"/>
        <v>0.39543057996484587</v>
      </c>
      <c r="L44">
        <f t="shared" si="1"/>
        <v>0.13847349719233604</v>
      </c>
      <c r="P44">
        <v>7.0298769771529601E-3</v>
      </c>
      <c r="Q44">
        <v>-1.2277662190834981E-2</v>
      </c>
    </row>
    <row r="45" spans="1:17" x14ac:dyDescent="0.3">
      <c r="A45" s="1" t="s">
        <v>84</v>
      </c>
      <c r="B45" s="1" t="s">
        <v>85</v>
      </c>
      <c r="K45">
        <f t="shared" si="0"/>
        <v>0.40246045694199606</v>
      </c>
      <c r="L45">
        <f t="shared" si="1"/>
        <v>0.14201317036735406</v>
      </c>
      <c r="P45">
        <v>1.405975395430592E-2</v>
      </c>
      <c r="Q45">
        <v>-1.7525397552401956E-2</v>
      </c>
    </row>
    <row r="46" spans="1:17" x14ac:dyDescent="0.3">
      <c r="A46" s="1" t="s">
        <v>86</v>
      </c>
      <c r="B46">
        <v>0.57752887457670699</v>
      </c>
      <c r="K46">
        <f t="shared" si="0"/>
        <v>0.40949033391915601</v>
      </c>
      <c r="L46">
        <f t="shared" si="1"/>
        <v>0.14731032524969001</v>
      </c>
      <c r="P46">
        <v>2.1089630931458991E-2</v>
      </c>
      <c r="Q46">
        <v>-1.9258169499334954E-2</v>
      </c>
    </row>
    <row r="47" spans="1:17" x14ac:dyDescent="0.3">
      <c r="A47" s="1" t="s">
        <v>87</v>
      </c>
      <c r="B47" s="1" t="s">
        <v>88</v>
      </c>
      <c r="K47">
        <f t="shared" si="0"/>
        <v>0.40597539543057604</v>
      </c>
      <c r="L47">
        <f t="shared" si="1"/>
        <v>0.15608537890608298</v>
      </c>
      <c r="P47">
        <v>2.9876977152899942E-2</v>
      </c>
      <c r="Q47">
        <v>-2.0984764006171996E-2</v>
      </c>
    </row>
    <row r="48" spans="1:17" x14ac:dyDescent="0.3">
      <c r="A48" s="1" t="s">
        <v>89</v>
      </c>
      <c r="B48">
        <v>0.581006773350765</v>
      </c>
      <c r="K48">
        <f t="shared" si="0"/>
        <v>0.39894551845342607</v>
      </c>
      <c r="L48">
        <f t="shared" si="1"/>
        <v>0.15078822402374803</v>
      </c>
      <c r="P48">
        <v>3.8664323374341003E-2</v>
      </c>
      <c r="Q48">
        <v>-2.0953876805691996E-2</v>
      </c>
    </row>
    <row r="49" spans="1:17" x14ac:dyDescent="0.3">
      <c r="A49" s="1" t="s">
        <v>90</v>
      </c>
      <c r="B49" s="1" t="s">
        <v>91</v>
      </c>
      <c r="K49">
        <f t="shared" si="0"/>
        <v>0.3919156414762659</v>
      </c>
      <c r="L49">
        <f t="shared" si="1"/>
        <v>0.14724855084872901</v>
      </c>
      <c r="P49">
        <v>4.5694200351493963E-2</v>
      </c>
      <c r="Q49">
        <v>-2.092916704530795E-2</v>
      </c>
    </row>
    <row r="50" spans="1:17" x14ac:dyDescent="0.3">
      <c r="A50" s="1" t="s">
        <v>92</v>
      </c>
      <c r="B50" s="1" t="s">
        <v>93</v>
      </c>
      <c r="K50">
        <f t="shared" si="0"/>
        <v>0.38137082601053596</v>
      </c>
      <c r="L50">
        <f t="shared" si="1"/>
        <v>0.14193904108620203</v>
      </c>
      <c r="P50">
        <v>5.4481546572934914E-2</v>
      </c>
      <c r="Q50">
        <v>-2.0898279844827949E-2</v>
      </c>
    </row>
    <row r="51" spans="1:17" x14ac:dyDescent="0.3">
      <c r="A51" s="1" t="s">
        <v>94</v>
      </c>
      <c r="B51" s="1" t="s">
        <v>95</v>
      </c>
      <c r="K51">
        <f t="shared" si="0"/>
        <v>0.37258347978909589</v>
      </c>
      <c r="L51">
        <f t="shared" si="1"/>
        <v>0.138393190471088</v>
      </c>
      <c r="P51">
        <v>6.3268892794375975E-2</v>
      </c>
      <c r="Q51">
        <v>-2.0867392644347948E-2</v>
      </c>
    </row>
    <row r="52" spans="1:17" x14ac:dyDescent="0.3">
      <c r="A52" s="1" t="s">
        <v>96</v>
      </c>
      <c r="B52" s="1" t="s">
        <v>97</v>
      </c>
      <c r="K52">
        <f t="shared" si="0"/>
        <v>0.36028119507908607</v>
      </c>
      <c r="L52">
        <f t="shared" si="1"/>
        <v>0.13307750326846401</v>
      </c>
      <c r="P52">
        <v>7.2056239015817924E-2</v>
      </c>
      <c r="Q52">
        <v>-1.907902373655096E-2</v>
      </c>
    </row>
    <row r="53" spans="1:17" x14ac:dyDescent="0.3">
      <c r="A53" s="1" t="s">
        <v>74</v>
      </c>
      <c r="B53" s="1" t="s">
        <v>98</v>
      </c>
      <c r="K53">
        <f t="shared" si="0"/>
        <v>0.34973637961335591</v>
      </c>
      <c r="L53">
        <f t="shared" si="1"/>
        <v>0.12952547521325397</v>
      </c>
      <c r="P53">
        <v>8.0843585237258986E-2</v>
      </c>
      <c r="Q53">
        <v>-1.7290654828753971E-2</v>
      </c>
    </row>
    <row r="54" spans="1:17" x14ac:dyDescent="0.3">
      <c r="A54" s="1" t="s">
        <v>72</v>
      </c>
      <c r="B54" s="1" t="s">
        <v>99</v>
      </c>
      <c r="K54">
        <f t="shared" si="0"/>
        <v>0.33743409490333587</v>
      </c>
      <c r="L54">
        <f t="shared" si="1"/>
        <v>0.12596726971794803</v>
      </c>
      <c r="P54">
        <v>8.7873462214411946E-2</v>
      </c>
      <c r="Q54">
        <v>-1.5508463361051994E-2</v>
      </c>
    </row>
    <row r="55" spans="1:17" x14ac:dyDescent="0.3">
      <c r="A55" s="1" t="s">
        <v>100</v>
      </c>
      <c r="B55" s="1" t="s">
        <v>101</v>
      </c>
      <c r="K55">
        <f t="shared" si="0"/>
        <v>0.32688927943760593</v>
      </c>
      <c r="L55">
        <f t="shared" si="1"/>
        <v>0.12241524166273798</v>
      </c>
      <c r="P55">
        <v>9.6660808435853007E-2</v>
      </c>
      <c r="Q55">
        <v>-1.1962612745937962E-2</v>
      </c>
    </row>
    <row r="56" spans="1:17" x14ac:dyDescent="0.3">
      <c r="A56" s="1" t="s">
        <v>102</v>
      </c>
      <c r="B56" s="1" t="s">
        <v>103</v>
      </c>
      <c r="K56">
        <f t="shared" si="0"/>
        <v>0.31282952548329601</v>
      </c>
      <c r="L56">
        <f t="shared" si="1"/>
        <v>0.11885085872733503</v>
      </c>
      <c r="P56">
        <v>0.10544815465728608</v>
      </c>
      <c r="Q56">
        <v>-1.0174243838140973E-2</v>
      </c>
    </row>
    <row r="57" spans="1:17" x14ac:dyDescent="0.3">
      <c r="A57" s="1" t="s">
        <v>104</v>
      </c>
      <c r="B57" s="1" t="s">
        <v>105</v>
      </c>
      <c r="K57">
        <f t="shared" si="0"/>
        <v>0.29525483304041589</v>
      </c>
      <c r="L57">
        <f t="shared" si="1"/>
        <v>0.11351663920442401</v>
      </c>
      <c r="P57">
        <v>0.11423550087872592</v>
      </c>
      <c r="Q57">
        <v>-8.3858749303439839E-3</v>
      </c>
    </row>
    <row r="58" spans="1:17" x14ac:dyDescent="0.3">
      <c r="A58" s="1" t="s">
        <v>106</v>
      </c>
      <c r="B58" s="1" t="s">
        <v>107</v>
      </c>
      <c r="K58">
        <f t="shared" si="0"/>
        <v>0.28295254833039607</v>
      </c>
      <c r="L58">
        <f t="shared" si="1"/>
        <v>0.10995843370911806</v>
      </c>
      <c r="P58">
        <v>0.12126537785588587</v>
      </c>
      <c r="Q58">
        <v>-6.6036834626429508E-3</v>
      </c>
    </row>
    <row r="59" spans="1:17" x14ac:dyDescent="0.3">
      <c r="A59" s="1" t="s">
        <v>108</v>
      </c>
      <c r="B59" s="1" t="s">
        <v>109</v>
      </c>
      <c r="K59">
        <f t="shared" si="0"/>
        <v>0.26889279437609592</v>
      </c>
      <c r="L59">
        <f t="shared" si="1"/>
        <v>0.10815153248103204</v>
      </c>
      <c r="P59">
        <v>0.12829525483303605</v>
      </c>
      <c r="Q59">
        <v>-3.0640102876249853E-3</v>
      </c>
    </row>
    <row r="60" spans="1:17" x14ac:dyDescent="0.3">
      <c r="A60" s="1" t="s">
        <v>110</v>
      </c>
      <c r="B60" s="1" t="s">
        <v>111</v>
      </c>
      <c r="K60">
        <f t="shared" si="0"/>
        <v>0.25483304042178601</v>
      </c>
      <c r="L60">
        <f t="shared" si="1"/>
        <v>0.10458714954562998</v>
      </c>
      <c r="P60">
        <v>0.13884007029876599</v>
      </c>
      <c r="Q60">
        <v>4.8801776758600202E-4</v>
      </c>
    </row>
    <row r="61" spans="1:17" x14ac:dyDescent="0.3">
      <c r="A61" s="1" t="s">
        <v>112</v>
      </c>
      <c r="B61" s="1" t="s">
        <v>113</v>
      </c>
      <c r="K61">
        <f t="shared" si="0"/>
        <v>0.23901581722319598</v>
      </c>
      <c r="L61">
        <f t="shared" si="1"/>
        <v>0.10101658917013201</v>
      </c>
      <c r="P61">
        <v>0.14762741652020606</v>
      </c>
      <c r="Q61">
        <v>4.0338683827000343E-3</v>
      </c>
    </row>
    <row r="62" spans="1:17" x14ac:dyDescent="0.3">
      <c r="A62" s="1" t="s">
        <v>114</v>
      </c>
      <c r="B62">
        <v>0.52767075556174703</v>
      </c>
      <c r="K62">
        <f t="shared" si="0"/>
        <v>0.22495606326888606</v>
      </c>
      <c r="L62">
        <f t="shared" si="1"/>
        <v>9.7452206234730054E-2</v>
      </c>
      <c r="P62">
        <v>0.1564147627416459</v>
      </c>
      <c r="Q62">
        <v>5.8222372904970232E-3</v>
      </c>
    </row>
    <row r="63" spans="1:17" x14ac:dyDescent="0.3">
      <c r="A63" s="1" t="s">
        <v>115</v>
      </c>
      <c r="B63" s="1" t="s">
        <v>116</v>
      </c>
      <c r="K63">
        <f t="shared" si="0"/>
        <v>0.20913884007029604</v>
      </c>
      <c r="L63">
        <f t="shared" si="1"/>
        <v>9.3881645859230978E-2</v>
      </c>
      <c r="P63">
        <v>0.16695957820737606</v>
      </c>
      <c r="Q63">
        <v>1.1131747053023999E-2</v>
      </c>
    </row>
    <row r="64" spans="1:17" x14ac:dyDescent="0.3">
      <c r="A64" s="1" t="s">
        <v>117</v>
      </c>
      <c r="B64" s="1" t="s">
        <v>118</v>
      </c>
      <c r="K64">
        <f t="shared" si="0"/>
        <v>0.19156414762741591</v>
      </c>
      <c r="L64">
        <f t="shared" si="1"/>
        <v>9.2062389750954043E-2</v>
      </c>
      <c r="P64">
        <v>0.17926186291739588</v>
      </c>
      <c r="Q64">
        <v>1.6447434255648041E-2</v>
      </c>
    </row>
    <row r="65" spans="1:17" x14ac:dyDescent="0.3">
      <c r="A65" s="1" t="s">
        <v>119</v>
      </c>
      <c r="B65" s="1" t="s">
        <v>120</v>
      </c>
      <c r="K65">
        <f t="shared" si="0"/>
        <v>0.17223198594024591</v>
      </c>
      <c r="L65">
        <f t="shared" si="1"/>
        <v>8.8479474495264054E-2</v>
      </c>
      <c r="P65">
        <v>0.18980667838312604</v>
      </c>
      <c r="Q65">
        <v>2.1756944018175017E-2</v>
      </c>
    </row>
    <row r="66" spans="1:17" x14ac:dyDescent="0.3">
      <c r="A66" s="1" t="s">
        <v>121</v>
      </c>
      <c r="B66">
        <v>0.51513364088687896</v>
      </c>
      <c r="K66">
        <f t="shared" ref="K66:K86" si="2">A66-$A$1</f>
        <v>0.158172231985936</v>
      </c>
      <c r="L66">
        <f t="shared" ref="L66:L86" si="3">B66-$B$1</f>
        <v>8.4915091559861988E-2</v>
      </c>
      <c r="P66">
        <v>0.20386643233742596</v>
      </c>
      <c r="Q66">
        <v>2.7078808660895015E-2</v>
      </c>
    </row>
    <row r="67" spans="1:17" x14ac:dyDescent="0.3">
      <c r="A67" s="1" t="s">
        <v>122</v>
      </c>
      <c r="B67" s="1" t="s">
        <v>123</v>
      </c>
      <c r="K67">
        <f t="shared" si="2"/>
        <v>0.13356766256589592</v>
      </c>
      <c r="L67">
        <f t="shared" si="3"/>
        <v>7.9556162276566034E-2</v>
      </c>
      <c r="P67">
        <v>0.21265377855886602</v>
      </c>
      <c r="Q67">
        <v>3.0624659276009047E-2</v>
      </c>
    </row>
    <row r="68" spans="1:17" x14ac:dyDescent="0.3">
      <c r="A68" s="1" t="s">
        <v>124</v>
      </c>
      <c r="B68" s="1" t="s">
        <v>125</v>
      </c>
      <c r="K68">
        <f t="shared" si="2"/>
        <v>0.11599297012301601</v>
      </c>
      <c r="L68">
        <f t="shared" si="3"/>
        <v>7.5979424460972056E-2</v>
      </c>
      <c r="P68">
        <v>0.22319859402459596</v>
      </c>
      <c r="Q68">
        <v>3.5934169038536024E-2</v>
      </c>
    </row>
    <row r="69" spans="1:17" x14ac:dyDescent="0.3">
      <c r="A69" s="1" t="s">
        <v>26</v>
      </c>
      <c r="B69" s="1" t="s">
        <v>126</v>
      </c>
      <c r="K69">
        <f t="shared" si="2"/>
        <v>0.10544815465728608</v>
      </c>
      <c r="L69">
        <f t="shared" si="3"/>
        <v>7.4184878113078057E-2</v>
      </c>
      <c r="P69">
        <v>0.23198594024604602</v>
      </c>
      <c r="Q69">
        <v>4.1237501360967044E-2</v>
      </c>
    </row>
    <row r="70" spans="1:17" x14ac:dyDescent="0.3">
      <c r="A70" s="1" t="s">
        <v>127</v>
      </c>
      <c r="B70" s="1" t="s">
        <v>128</v>
      </c>
      <c r="K70">
        <f t="shared" si="2"/>
        <v>9.4903339191564018E-2</v>
      </c>
      <c r="L70">
        <f t="shared" si="3"/>
        <v>7.0632850057868013E-2</v>
      </c>
      <c r="P70">
        <v>0.24253075571176597</v>
      </c>
      <c r="Q70">
        <v>4.6547011123495019E-2</v>
      </c>
    </row>
    <row r="71" spans="1:17" x14ac:dyDescent="0.3">
      <c r="A71" s="1" t="s">
        <v>129</v>
      </c>
      <c r="B71" s="1" t="s">
        <v>130</v>
      </c>
      <c r="K71">
        <f t="shared" si="2"/>
        <v>8.4358523725834966E-2</v>
      </c>
      <c r="L71">
        <f t="shared" si="3"/>
        <v>6.7080822002658025E-2</v>
      </c>
      <c r="P71">
        <v>0.25307557117749591</v>
      </c>
      <c r="Q71">
        <v>5.3614002593339039E-2</v>
      </c>
    </row>
    <row r="72" spans="1:17" x14ac:dyDescent="0.3">
      <c r="A72" s="1" t="s">
        <v>131</v>
      </c>
      <c r="B72" s="1" t="s">
        <v>132</v>
      </c>
      <c r="K72">
        <f t="shared" si="2"/>
        <v>7.5571177504394016E-2</v>
      </c>
      <c r="L72">
        <f t="shared" si="3"/>
        <v>6.3534971387544048E-2</v>
      </c>
      <c r="P72">
        <v>0.26537785588751595</v>
      </c>
      <c r="Q72">
        <v>5.8929689795962026E-2</v>
      </c>
    </row>
    <row r="73" spans="1:17" x14ac:dyDescent="0.3">
      <c r="A73" s="1" t="s">
        <v>18</v>
      </c>
      <c r="B73" s="1" t="s">
        <v>133</v>
      </c>
      <c r="K73">
        <f t="shared" si="2"/>
        <v>6.3268892794375975E-2</v>
      </c>
      <c r="L73">
        <f t="shared" si="3"/>
        <v>5.8219284184920006E-2</v>
      </c>
      <c r="P73">
        <v>0.27416520210895601</v>
      </c>
      <c r="Q73">
        <v>6.4233022118394045E-2</v>
      </c>
    </row>
    <row r="74" spans="1:17" x14ac:dyDescent="0.3">
      <c r="A74" s="1" t="s">
        <v>16</v>
      </c>
      <c r="B74" s="1" t="s">
        <v>134</v>
      </c>
      <c r="K74">
        <f t="shared" si="2"/>
        <v>5.4481546572934914E-2</v>
      </c>
      <c r="L74">
        <f t="shared" si="3"/>
        <v>5.4673433569806029E-2</v>
      </c>
      <c r="P74">
        <v>0.28471001757468595</v>
      </c>
      <c r="Q74">
        <v>6.9542531880921021E-2</v>
      </c>
    </row>
    <row r="75" spans="1:17" x14ac:dyDescent="0.3">
      <c r="A75" s="1" t="s">
        <v>135</v>
      </c>
      <c r="B75" s="1" t="s">
        <v>136</v>
      </c>
      <c r="K75">
        <f t="shared" si="2"/>
        <v>4.3936731107205973E-2</v>
      </c>
      <c r="L75">
        <f t="shared" si="3"/>
        <v>5.1121405514596041E-2</v>
      </c>
      <c r="P75">
        <v>0.29349736379612601</v>
      </c>
      <c r="Q75">
        <v>7.4845864203352042E-2</v>
      </c>
    </row>
    <row r="76" spans="1:17" x14ac:dyDescent="0.3">
      <c r="A76" s="1" t="s">
        <v>12</v>
      </c>
      <c r="B76" s="1" t="s">
        <v>137</v>
      </c>
      <c r="K76">
        <f t="shared" si="2"/>
        <v>3.8664323374341003E-2</v>
      </c>
      <c r="L76">
        <f t="shared" si="3"/>
        <v>4.7587909779674031E-2</v>
      </c>
      <c r="P76">
        <v>0.30228471001756607</v>
      </c>
      <c r="Q76">
        <v>7.8391714818467073E-2</v>
      </c>
    </row>
    <row r="77" spans="1:17" x14ac:dyDescent="0.3">
      <c r="A77" s="1" t="s">
        <v>138</v>
      </c>
      <c r="B77" s="1" t="s">
        <v>139</v>
      </c>
      <c r="K77">
        <f t="shared" si="2"/>
        <v>3.1634446397187932E-2</v>
      </c>
      <c r="L77">
        <f t="shared" si="3"/>
        <v>4.4048236604655011E-2</v>
      </c>
      <c r="P77">
        <v>0.3110720562390159</v>
      </c>
      <c r="Q77">
        <v>8.3695047140898038E-2</v>
      </c>
    </row>
    <row r="78" spans="1:17" x14ac:dyDescent="0.3">
      <c r="A78">
        <v>0.92267135325131799</v>
      </c>
      <c r="B78" s="1" t="s">
        <v>140</v>
      </c>
      <c r="K78">
        <f t="shared" si="2"/>
        <v>2.6362038664323961E-2</v>
      </c>
      <c r="L78">
        <f t="shared" si="3"/>
        <v>4.0514740869733001E-2</v>
      </c>
      <c r="P78">
        <v>0.31985940246045597</v>
      </c>
      <c r="Q78">
        <v>9.0755861170646046E-2</v>
      </c>
    </row>
    <row r="79" spans="1:17" x14ac:dyDescent="0.3">
      <c r="A79" s="1" t="s">
        <v>141</v>
      </c>
      <c r="B79" s="1" t="s">
        <v>142</v>
      </c>
      <c r="K79">
        <f t="shared" si="2"/>
        <v>2.2847100175746982E-2</v>
      </c>
      <c r="L79">
        <f t="shared" si="3"/>
        <v>3.6987422574907003E-2</v>
      </c>
      <c r="P79">
        <v>0.32864674868189603</v>
      </c>
      <c r="Q79">
        <v>9.605919349307801E-2</v>
      </c>
    </row>
    <row r="80" spans="1:17" x14ac:dyDescent="0.3">
      <c r="A80" s="1" t="s">
        <v>143</v>
      </c>
      <c r="B80" s="1" t="s">
        <v>144</v>
      </c>
      <c r="K80">
        <f t="shared" si="2"/>
        <v>1.7574692442882012E-2</v>
      </c>
      <c r="L80">
        <f t="shared" si="3"/>
        <v>3.3453926839985049E-2</v>
      </c>
      <c r="P80">
        <v>0.33743409490333587</v>
      </c>
      <c r="Q80">
        <v>0.10312000752282602</v>
      </c>
    </row>
    <row r="81" spans="1:17" x14ac:dyDescent="0.3">
      <c r="A81" s="1" t="s">
        <v>6</v>
      </c>
      <c r="B81" s="1" t="s">
        <v>145</v>
      </c>
      <c r="K81">
        <f t="shared" si="2"/>
        <v>1.405975395430592E-2</v>
      </c>
      <c r="L81">
        <f t="shared" si="3"/>
        <v>2.992660854515905E-2</v>
      </c>
      <c r="P81">
        <v>0.34973637961335591</v>
      </c>
      <c r="Q81">
        <v>0.11019317643276605</v>
      </c>
    </row>
    <row r="82" spans="1:17" x14ac:dyDescent="0.3">
      <c r="A82">
        <v>0.90685413005272397</v>
      </c>
      <c r="B82">
        <v>0.45661783957735003</v>
      </c>
      <c r="K82">
        <f t="shared" si="2"/>
        <v>1.054481546572994E-2</v>
      </c>
      <c r="L82">
        <f t="shared" si="3"/>
        <v>2.6399290250333052E-2</v>
      </c>
      <c r="P82">
        <v>0.36379613356765605</v>
      </c>
      <c r="Q82">
        <v>0.11903000449012002</v>
      </c>
    </row>
    <row r="83" spans="1:17" x14ac:dyDescent="0.3">
      <c r="A83" s="1" t="s">
        <v>4</v>
      </c>
      <c r="B83" s="1" t="s">
        <v>146</v>
      </c>
      <c r="K83">
        <f t="shared" si="2"/>
        <v>7.0298769771529601E-3</v>
      </c>
      <c r="L83">
        <f t="shared" si="3"/>
        <v>2.1114490248189011E-2</v>
      </c>
      <c r="P83">
        <v>0.37785588752196597</v>
      </c>
      <c r="Q83">
        <v>0.127866832547473</v>
      </c>
    </row>
    <row r="84" spans="1:17" x14ac:dyDescent="0.3">
      <c r="A84" s="1" t="s">
        <v>2</v>
      </c>
      <c r="B84" s="1" t="s">
        <v>147</v>
      </c>
      <c r="K84">
        <f t="shared" si="2"/>
        <v>3.5149384885769797E-3</v>
      </c>
      <c r="L84">
        <f t="shared" si="3"/>
        <v>1.7587171953363012E-2</v>
      </c>
      <c r="P84">
        <v>0.38840070298769591</v>
      </c>
      <c r="Q84">
        <v>0.13493382401731802</v>
      </c>
    </row>
    <row r="85" spans="1:17" x14ac:dyDescent="0.3">
      <c r="A85" s="1" t="s">
        <v>148</v>
      </c>
      <c r="B85" s="1" t="s">
        <v>149</v>
      </c>
      <c r="K85">
        <f t="shared" si="2"/>
        <v>1.7574692442879902E-3</v>
      </c>
      <c r="L85">
        <f t="shared" si="3"/>
        <v>1.2308549391316037E-2</v>
      </c>
      <c r="P85">
        <v>0.39543057996484587</v>
      </c>
      <c r="Q85">
        <v>0.13847349719233604</v>
      </c>
    </row>
    <row r="86" spans="1:17" x14ac:dyDescent="0.3">
      <c r="A86" s="1" t="s">
        <v>0</v>
      </c>
      <c r="B86" s="1" t="s">
        <v>150</v>
      </c>
      <c r="K86">
        <f t="shared" si="2"/>
        <v>0</v>
      </c>
      <c r="L86">
        <f t="shared" si="3"/>
        <v>7.0299268292690065E-3</v>
      </c>
      <c r="P86">
        <v>0.40246045694199606</v>
      </c>
      <c r="Q86">
        <v>0.14201317036735406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outboard_second_element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Sanguinetti</dc:creator>
  <cp:lastModifiedBy>Sanguinetti, Anthony Joseph</cp:lastModifiedBy>
  <dcterms:created xsi:type="dcterms:W3CDTF">2026-05-07T08:16:28Z</dcterms:created>
  <dcterms:modified xsi:type="dcterms:W3CDTF">2026-05-07T09:20:24Z</dcterms:modified>
</cp:coreProperties>
</file>