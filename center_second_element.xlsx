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8_{739C7E11-F30C-4D4B-90C4-05C004ABD02D}" xr6:coauthVersionLast="47" xr6:coauthVersionMax="47" xr10:uidLastSave="{00000000-0000-0000-0000-000000000000}"/>
  <bookViews>
    <workbookView xWindow="0" yWindow="0" windowWidth="11256" windowHeight="12240" xr2:uid="{18A83474-EB39-DC47-AC60-63255FA77A26}"/>
  </bookViews>
  <sheets>
    <sheet name="center_second_el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L1" i="1"/>
  <c r="K1" i="1"/>
</calcChain>
</file>

<file path=xl/sharedStrings.xml><?xml version="1.0" encoding="utf-8"?>
<sst xmlns="http://schemas.openxmlformats.org/spreadsheetml/2006/main" count="200" uniqueCount="191">
  <si>
    <t xml:space="preserve"> 0.24747751640661841</t>
  </si>
  <si>
    <t>0.9086115992970123</t>
  </si>
  <si>
    <t xml:space="preserve"> 0.24221124872476318</t>
  </si>
  <si>
    <t>0.9138840070298768</t>
  </si>
  <si>
    <t xml:space="preserve"> 0.23871481763041702</t>
  </si>
  <si>
    <t>0.9191564147627418</t>
  </si>
  <si>
    <t xml:space="preserve"> 0.23521838653607097</t>
  </si>
  <si>
    <t>0.9244288224956063</t>
  </si>
  <si>
    <t xml:space="preserve"> 0.23347943714904185</t>
  </si>
  <si>
    <t>0.9314586994727592</t>
  </si>
  <si>
    <t xml:space="preserve"> 0.2335041469094259</t>
  </si>
  <si>
    <t>0.9384885764499122</t>
  </si>
  <si>
    <t xml:space="preserve"> 0.23352885666981005</t>
  </si>
  <si>
    <t>0.9455184534270651</t>
  </si>
  <si>
    <t xml:space="preserve"> 0.2335535664301941</t>
  </si>
  <si>
    <t>0.9525483304042179</t>
  </si>
  <si>
    <t xml:space="preserve"> 0.2353357578978953</t>
  </si>
  <si>
    <t>0.9595782073813708</t>
  </si>
  <si>
    <t xml:space="preserve"> 0.23711794936559638</t>
  </si>
  <si>
    <t>0.9666080843585236</t>
  </si>
  <si>
    <t xml:space="preserve"> 0.23890014083329758</t>
  </si>
  <si>
    <t>0.9736379613356767</t>
  </si>
  <si>
    <t xml:space="preserve"> 0.24243981400831582</t>
  </si>
  <si>
    <t>0.9824253075571177</t>
  </si>
  <si>
    <t xml:space="preserve"> 0.24598566462343008</t>
  </si>
  <si>
    <t>0.9912126537785588</t>
  </si>
  <si>
    <t xml:space="preserve"> 0.24953151523854422</t>
  </si>
  <si>
    <t>1.001757469244288</t>
  </si>
  <si>
    <t xml:space="preserve"> 0.25484102500107164</t>
  </si>
  <si>
    <t>1.0123022847100176</t>
  </si>
  <si>
    <t xml:space="preserve"> 0.26015053476359884</t>
  </si>
  <si>
    <t>1.0210896309314585</t>
  </si>
  <si>
    <t xml:space="preserve"> 0.26545386708603025</t>
  </si>
  <si>
    <t>1.0281195079086116</t>
  </si>
  <si>
    <t xml:space="preserve"> 0.27075102196836554</t>
  </si>
  <si>
    <t>1.0369068541300528</t>
  </si>
  <si>
    <t xml:space="preserve"> 0.27605435429079683</t>
  </si>
  <si>
    <t>1.045694200351494</t>
  </si>
  <si>
    <t>1.054481546572935</t>
  </si>
  <si>
    <t xml:space="preserve"> 0.28841850064297647</t>
  </si>
  <si>
    <t>1.0615114235500878</t>
  </si>
  <si>
    <t xml:space="preserve"> 0.29371565552531187</t>
  </si>
  <si>
    <t>1.0685413005272406</t>
  </si>
  <si>
    <t xml:space="preserve"> 0.29901281040764704</t>
  </si>
  <si>
    <t>1.0755711775043937</t>
  </si>
  <si>
    <t xml:space="preserve"> 0.30430996528998233</t>
  </si>
  <si>
    <t>1.0826010544815465</t>
  </si>
  <si>
    <t xml:space="preserve"> 0.3096071201723176</t>
  </si>
  <si>
    <t>1.0878734622144113</t>
  </si>
  <si>
    <t>1.0966608084358522</t>
  </si>
  <si>
    <t xml:space="preserve"> 0.32195891164430535</t>
  </si>
  <si>
    <t>1.103690685413005</t>
  </si>
  <si>
    <t xml:space="preserve"> 0.3272560665266406</t>
  </si>
  <si>
    <t>1.1089630931458698</t>
  </si>
  <si>
    <t xml:space="preserve"> 0.3343045256761969</t>
  </si>
  <si>
    <t>1.117750439367311</t>
  </si>
  <si>
    <t xml:space="preserve"> 0.34136533970594535</t>
  </si>
  <si>
    <t>1.1247803163444638</t>
  </si>
  <si>
    <t xml:space="preserve"> 0.34841997629559773</t>
  </si>
  <si>
    <t>1.1318101933216167</t>
  </si>
  <si>
    <t xml:space="preserve"> 0.35547461288525006</t>
  </si>
  <si>
    <t>1.1388400702987695</t>
  </si>
  <si>
    <t xml:space="preserve"> 0.3625292494749024</t>
  </si>
  <si>
    <t>1.147627416520211</t>
  </si>
  <si>
    <t xml:space="preserve"> 0.37134754521196783</t>
  </si>
  <si>
    <t>1.1564147627416521</t>
  </si>
  <si>
    <t xml:space="preserve"> 0.38016584094903333</t>
  </si>
  <si>
    <t>1.163444639718805</t>
  </si>
  <si>
    <t xml:space="preserve"> 0.38722047753868566</t>
  </si>
  <si>
    <t>1.1704745166959578</t>
  </si>
  <si>
    <t xml:space="preserve"> 0.3942751141283381</t>
  </si>
  <si>
    <t>1.1775043936731107</t>
  </si>
  <si>
    <t xml:space="preserve"> 0.4030872324253075</t>
  </si>
  <si>
    <t>1.1845342706502637</t>
  </si>
  <si>
    <t xml:space="preserve"> 0.41014186901495986</t>
  </si>
  <si>
    <t>1.1933216168717047</t>
  </si>
  <si>
    <t xml:space="preserve"> 0.4207176464593424</t>
  </si>
  <si>
    <t>1.2021089630931459</t>
  </si>
  <si>
    <t xml:space="preserve"> 0.4295359421964079</t>
  </si>
  <si>
    <t>1.2091388400702987</t>
  </si>
  <si>
    <t xml:space="preserve"> 0.43834806049337727</t>
  </si>
  <si>
    <t>1.2161687170474516</t>
  </si>
  <si>
    <t xml:space="preserve"> 0.44716017879034675</t>
  </si>
  <si>
    <t>1.2231985940246046</t>
  </si>
  <si>
    <t xml:space="preserve"> 0.45597229708731607</t>
  </si>
  <si>
    <t>1.2284710017574694</t>
  </si>
  <si>
    <t xml:space="preserve"> 0.4647782379441895</t>
  </si>
  <si>
    <t>1.2372583479789103</t>
  </si>
  <si>
    <t xml:space="preserve"> 0.4753540153885721</t>
  </si>
  <si>
    <t>1.2478031634446396</t>
  </si>
  <si>
    <t xml:space="preserve"> 0.48769345198036773</t>
  </si>
  <si>
    <t>1.256590509666081</t>
  </si>
  <si>
    <t xml:space="preserve"> 0.4982692294247502</t>
  </si>
  <si>
    <t>1.265377855887522</t>
  </si>
  <si>
    <t xml:space="preserve"> 0.5106024885764497</t>
  </si>
  <si>
    <t>1.2724077328646748</t>
  </si>
  <si>
    <t xml:space="preserve"> 0.5229295702880534</t>
  </si>
  <si>
    <t>1.2794376098418276</t>
  </si>
  <si>
    <t>1.2864674868189805</t>
  </si>
  <si>
    <t xml:space="preserve"> 0.5458262520039434</t>
  </si>
  <si>
    <t>1.2934973637961336</t>
  </si>
  <si>
    <t xml:space="preserve"> 0.5581533337155471</t>
  </si>
  <si>
    <t>1.2987697715289983</t>
  </si>
  <si>
    <t xml:space="preserve"> 0.5687167562797375</t>
  </si>
  <si>
    <t>1.3057996485061512</t>
  </si>
  <si>
    <t xml:space="preserve"> 0.5810438379913412</t>
  </si>
  <si>
    <t>1.3022847100175747</t>
  </si>
  <si>
    <t xml:space="preserve"> 0.5845464465257832</t>
  </si>
  <si>
    <t>1.2917398945518452</t>
  </si>
  <si>
    <t xml:space="preserve"> 0.5722070099339877</t>
  </si>
  <si>
    <t>1.2847100175746924</t>
  </si>
  <si>
    <t xml:space="preserve"> 0.5633948916370182</t>
  </si>
  <si>
    <t>1.2776801405975395</t>
  </si>
  <si>
    <t xml:space="preserve"> 0.5563402550473658</t>
  </si>
  <si>
    <t xml:space="preserve"> 0.5475343141904925</t>
  </si>
  <si>
    <t>1.258347978910369</t>
  </si>
  <si>
    <t xml:space="preserve"> 0.5334250410111876</t>
  </si>
  <si>
    <t>1.249560632688928</t>
  </si>
  <si>
    <t xml:space="preserve"> 0.5263642269814393</t>
  </si>
  <si>
    <t>1.242530755711775</t>
  </si>
  <si>
    <t xml:space="preserve"> 0.5193095903917869</t>
  </si>
  <si>
    <t>1.233743409490334</t>
  </si>
  <si>
    <t xml:space="preserve"> 0.5122487763620386</t>
  </si>
  <si>
    <t>1.224956063268893</t>
  </si>
  <si>
    <t xml:space="preserve"> 0.5051879623322901</t>
  </si>
  <si>
    <t>1.2126537785588751</t>
  </si>
  <si>
    <t xml:space="preserve"> 0.49635731171503267</t>
  </si>
  <si>
    <t>1.203866432337434</t>
  </si>
  <si>
    <t xml:space="preserve"> 0.4875390159779673</t>
  </si>
  <si>
    <t xml:space="preserve"> 0.4804720245081228</t>
  </si>
  <si>
    <t>1.1792618629173988</t>
  </si>
  <si>
    <t xml:space="preserve"> 0.46987771474345225</t>
  </si>
  <si>
    <t>1.1669595782073814</t>
  </si>
  <si>
    <t xml:space="preserve"> 0.4610470641261948</t>
  </si>
  <si>
    <t>1.1546572934973638</t>
  </si>
  <si>
    <t xml:space="preserve"> 0.45397389521625436</t>
  </si>
  <si>
    <t>1.142355008787346</t>
  </si>
  <si>
    <t>1.1265377855887522</t>
  </si>
  <si>
    <t xml:space="preserve"> 0.43805772080886446</t>
  </si>
  <si>
    <t>1.115992970123023</t>
  </si>
  <si>
    <t xml:space="preserve"> 0.43099072933902005</t>
  </si>
  <si>
    <t>1.1054481546572934</t>
  </si>
  <si>
    <t xml:space="preserve"> 0.4239237378691756</t>
  </si>
  <si>
    <t xml:space="preserve"> 0.4150745549316301</t>
  </si>
  <si>
    <t xml:space="preserve"> 0.4080013860216896</t>
  </si>
  <si>
    <t xml:space="preserve"> 0.39916455796433614</t>
  </si>
  <si>
    <t xml:space="preserve"> 0.3903215524668866</t>
  </si>
  <si>
    <t>1.0333919156414761</t>
  </si>
  <si>
    <t xml:space="preserve"> 0.38324838355694624</t>
  </si>
  <si>
    <t>1.024604569420035</t>
  </si>
  <si>
    <t xml:space="preserve"> 0.37794505123451494</t>
  </si>
  <si>
    <t>1.015817223198594</t>
  </si>
  <si>
    <t xml:space="preserve"> 0.3726417189120836</t>
  </si>
  <si>
    <t>1.0035149384885764</t>
  </si>
  <si>
    <t xml:space="preserve"> 0.36556855000214317</t>
  </si>
  <si>
    <t>0.9947275922671353</t>
  </si>
  <si>
    <t xml:space="preserve"> 0.3585077359723948</t>
  </si>
  <si>
    <t xml:space="preserve"> 0.3514407445025504</t>
  </si>
  <si>
    <t>0.9718804920913884</t>
  </si>
  <si>
    <t xml:space="preserve"> 0.34436757559260994</t>
  </si>
  <si>
    <t>0.9613356766256591</t>
  </si>
  <si>
    <t xml:space="preserve"> 0.3355431024154485</t>
  </si>
  <si>
    <t>0.9507908611599296</t>
  </si>
  <si>
    <t xml:space="preserve"> 0.32847611094560414</t>
  </si>
  <si>
    <t>0.9420035149384887</t>
  </si>
  <si>
    <t xml:space="preserve"> 0.31965781520853875</t>
  </si>
  <si>
    <t>0.9349736379613356</t>
  </si>
  <si>
    <t xml:space="preserve"> 0.3126031786188863</t>
  </si>
  <si>
    <t>0.9279437609841827</t>
  </si>
  <si>
    <t xml:space="preserve"> 0.30554854202923387</t>
  </si>
  <si>
    <t xml:space="preserve"> 0.3002575645869947</t>
  </si>
  <si>
    <t>0.9173989455184532</t>
  </si>
  <si>
    <t xml:space="preserve"> 0.29145162373012135</t>
  </si>
  <si>
    <t xml:space="preserve"> 0.2844093420206609</t>
  </si>
  <si>
    <t>0.9103690685413004</t>
  </si>
  <si>
    <t xml:space="preserve"> 0.27912454201851766</t>
  </si>
  <si>
    <t xml:space="preserve"> 0.2738459194564705</t>
  </si>
  <si>
    <t xml:space="preserve"> 0.26856729689442327</t>
  </si>
  <si>
    <t xml:space="preserve"> 0.2650523334797892</t>
  </si>
  <si>
    <t xml:space="preserve"> 0.25977988835783783</t>
  </si>
  <si>
    <t xml:space="preserve"> 0.2545074432358867</t>
  </si>
  <si>
    <t>&lt;--</t>
  </si>
  <si>
    <t>webplot digitizer points</t>
  </si>
  <si>
    <t>webplot digitizer points with LE at origin</t>
  </si>
  <si>
    <t>&gt;</t>
  </si>
  <si>
    <t>LE to lower surface to TE</t>
  </si>
  <si>
    <t>to upper surface to LE</t>
  </si>
  <si>
    <t>JavaFoil coords</t>
  </si>
  <si>
    <t>TE to upper surface to LE</t>
  </si>
  <si>
    <t>to lower surface to TE</t>
  </si>
  <si>
    <t>AoA = 39.75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</si>
</sst>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44823</xdr:colOff>
      <xdr:row>2</xdr:row>
      <xdr:rowOff>-1</xdr:rowOff>
    </xdr:from>
    <xdr:to>
      <xdr:col>30</xdr:col>
      <xdr:colOff>294494</xdr:colOff>
      <xdr:row>48</xdr:row>
      <xdr:rowOff>114490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CA2527-0961-3D4C-F82D-CF268CAC0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74470" y="403411"/>
          <a:ext cx="10469436" cy="9392961"/>
        </a:xfrm>
        <a:prstGeom prst="rect">
          <a:avLst/>
        </a:prstGeom>
      </xdr:spPr>
    </xdr:pic>
    <xdr:clientData/>
  </xdr:twoCellAnchor>
  <xdr:twoCellAnchor editAs="oneCell">
    <xdr:from>
      <xdr:col>30</xdr:col>
      <xdr:colOff>710292</xdr:colOff>
      <xdr:row>1</xdr:row>
      <xdr:rowOff>82764</xdr:rowOff>
    </xdr:from>
    <xdr:to>
      <xdr:col>43</xdr:col>
      <xdr:colOff>146421</xdr:colOff>
      <xdr:row>47</xdr:row>
      <xdr:rowOff>149623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269C24-454A-EB08-EBC5-90E45B255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59704" y="284470"/>
          <a:ext cx="10507541" cy="9345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E057-EEAF-F647-9ADE-773C02622FEC}">
  <dimension ref="A1:U102"/>
  <sheetViews>
    <sheetView tabSelected="1" topLeftCell="L1" zoomScale="63" workbookViewId="0">
      <selection activeCell="U2" sqref="U2"/>
    </sheetView>
  </sheetViews>
  <sheetFormatPr defaultColWidth="11.19921875" defaultRowHeight="15.6" x14ac:dyDescent="0.3"/>
  <sheetData>
    <row r="1" spans="1:21" x14ac:dyDescent="0.3">
      <c r="A1">
        <v>0.90685413005272397</v>
      </c>
      <c r="B1" s="1" t="s">
        <v>0</v>
      </c>
      <c r="D1" t="s">
        <v>181</v>
      </c>
      <c r="E1" t="s">
        <v>182</v>
      </c>
      <c r="K1">
        <f>A1-$A$1</f>
        <v>0</v>
      </c>
      <c r="L1">
        <f>B1-$B$1</f>
        <v>0</v>
      </c>
      <c r="P1">
        <v>0.39894551845342607</v>
      </c>
      <c r="Q1">
        <v>0.33356632158472299</v>
      </c>
      <c r="U1" t="s">
        <v>190</v>
      </c>
    </row>
    <row r="2" spans="1:21" x14ac:dyDescent="0.3">
      <c r="A2" s="1" t="s">
        <v>1</v>
      </c>
      <c r="B2" s="1" t="s">
        <v>2</v>
      </c>
      <c r="K2">
        <f t="shared" ref="K2:K65" si="0">A2-$A$1</f>
        <v>1.7574692442879902E-3</v>
      </c>
      <c r="L2">
        <f t="shared" ref="L2:L65" si="1">B2-$B$1</f>
        <v>-5.266267681855008E-3</v>
      </c>
      <c r="P2">
        <v>0.3954305799648461</v>
      </c>
      <c r="Q2">
        <v>0.33706893011916506</v>
      </c>
    </row>
    <row r="3" spans="1:21" x14ac:dyDescent="0.3">
      <c r="A3" s="1" t="s">
        <v>3</v>
      </c>
      <c r="B3" s="1" t="s">
        <v>4</v>
      </c>
      <c r="G3" s="2" t="s">
        <v>183</v>
      </c>
      <c r="H3" s="2"/>
      <c r="I3" s="2"/>
      <c r="J3" t="s">
        <v>184</v>
      </c>
      <c r="K3">
        <f t="shared" si="0"/>
        <v>7.0298769771520719E-3</v>
      </c>
      <c r="L3">
        <f t="shared" si="1"/>
        <v>-8.7626987762010056E-3</v>
      </c>
      <c r="P3">
        <v>0.39015817223198601</v>
      </c>
      <c r="Q3">
        <v>0.331777952676926</v>
      </c>
    </row>
    <row r="4" spans="1:21" x14ac:dyDescent="0.3">
      <c r="A4" s="1" t="s">
        <v>5</v>
      </c>
      <c r="B4" s="1" t="s">
        <v>6</v>
      </c>
      <c r="K4">
        <f t="shared" si="0"/>
        <v>1.2302284710017042E-2</v>
      </c>
      <c r="L4">
        <f t="shared" si="1"/>
        <v>-1.2259129870548002E-2</v>
      </c>
      <c r="N4" t="s">
        <v>187</v>
      </c>
      <c r="P4">
        <v>0.38488576449911593</v>
      </c>
      <c r="Q4">
        <v>0.32472949352736902</v>
      </c>
    </row>
    <row r="5" spans="1:21" x14ac:dyDescent="0.3">
      <c r="A5" s="1" t="s">
        <v>7</v>
      </c>
      <c r="B5" s="1" t="s">
        <v>8</v>
      </c>
      <c r="F5" t="s">
        <v>185</v>
      </c>
      <c r="K5">
        <f t="shared" si="0"/>
        <v>1.7574692442882012E-2</v>
      </c>
      <c r="L5">
        <f t="shared" si="1"/>
        <v>-1.3998079257576984E-2</v>
      </c>
      <c r="N5" t="s">
        <v>188</v>
      </c>
      <c r="P5">
        <v>0.37785588752196597</v>
      </c>
      <c r="Q5">
        <v>0.31591737523039998</v>
      </c>
    </row>
    <row r="6" spans="1:21" x14ac:dyDescent="0.3">
      <c r="A6" s="1" t="s">
        <v>9</v>
      </c>
      <c r="B6" s="1" t="s">
        <v>10</v>
      </c>
      <c r="F6" t="s">
        <v>186</v>
      </c>
      <c r="K6">
        <f t="shared" si="0"/>
        <v>2.4604569420035083E-2</v>
      </c>
      <c r="L6">
        <f t="shared" si="1"/>
        <v>-1.3973369497192994E-2</v>
      </c>
      <c r="N6" t="s">
        <v>189</v>
      </c>
      <c r="P6">
        <v>0.37082601054480602</v>
      </c>
      <c r="Q6">
        <v>0.30886273864074698</v>
      </c>
    </row>
    <row r="7" spans="1:21" x14ac:dyDescent="0.3">
      <c r="A7" s="1" t="s">
        <v>11</v>
      </c>
      <c r="B7" s="1" t="s">
        <v>12</v>
      </c>
      <c r="K7">
        <f t="shared" si="0"/>
        <v>3.1634446397188043E-2</v>
      </c>
      <c r="L7">
        <f t="shared" si="1"/>
        <v>-1.3948659736808006E-2</v>
      </c>
      <c r="P7">
        <v>0.36555360281194593</v>
      </c>
      <c r="Q7">
        <v>0.30005679778387406</v>
      </c>
    </row>
    <row r="8" spans="1:21" x14ac:dyDescent="0.3">
      <c r="A8" s="1" t="s">
        <v>13</v>
      </c>
      <c r="B8" s="1" t="s">
        <v>14</v>
      </c>
      <c r="K8">
        <f t="shared" si="0"/>
        <v>3.8664323374341003E-2</v>
      </c>
      <c r="L8">
        <f t="shared" si="1"/>
        <v>-1.3923949976423988E-2</v>
      </c>
      <c r="P8">
        <v>0.35852372583479597</v>
      </c>
      <c r="Q8">
        <v>0.29300216119422207</v>
      </c>
    </row>
    <row r="9" spans="1:21" x14ac:dyDescent="0.3">
      <c r="A9" s="1" t="s">
        <v>15</v>
      </c>
      <c r="B9" s="1" t="s">
        <v>16</v>
      </c>
      <c r="K9">
        <f t="shared" si="0"/>
        <v>4.5694200351493075E-2</v>
      </c>
      <c r="L9">
        <f t="shared" si="1"/>
        <v>-1.2141758508723011E-2</v>
      </c>
      <c r="P9">
        <v>0.35149384885763602</v>
      </c>
      <c r="Q9">
        <v>0.28594752460456907</v>
      </c>
    </row>
    <row r="10" spans="1:21" x14ac:dyDescent="0.3">
      <c r="A10" s="1" t="s">
        <v>17</v>
      </c>
      <c r="B10" s="1" t="s">
        <v>18</v>
      </c>
      <c r="K10">
        <f t="shared" si="0"/>
        <v>5.2724077328646035E-2</v>
      </c>
      <c r="L10">
        <f t="shared" si="1"/>
        <v>-1.0359567041022005E-2</v>
      </c>
      <c r="P10">
        <v>0.34270650263619595</v>
      </c>
      <c r="Q10">
        <v>0.27888671057482106</v>
      </c>
    </row>
    <row r="11" spans="1:21" x14ac:dyDescent="0.3">
      <c r="A11" s="1" t="s">
        <v>19</v>
      </c>
      <c r="B11" s="1" t="s">
        <v>20</v>
      </c>
      <c r="K11">
        <f t="shared" si="0"/>
        <v>5.9753954305798995E-2</v>
      </c>
      <c r="L11">
        <f t="shared" si="1"/>
        <v>-8.577375573321E-3</v>
      </c>
      <c r="P11">
        <v>0.33567662565904599</v>
      </c>
      <c r="Q11">
        <v>0.27183207398516807</v>
      </c>
    </row>
    <row r="12" spans="1:21" x14ac:dyDescent="0.3">
      <c r="A12" s="1" t="s">
        <v>21</v>
      </c>
      <c r="B12" s="1" t="s">
        <v>22</v>
      </c>
      <c r="K12">
        <f t="shared" si="0"/>
        <v>6.6783831282952066E-2</v>
      </c>
      <c r="L12">
        <f t="shared" si="1"/>
        <v>-5.0377023983030067E-3</v>
      </c>
      <c r="P12">
        <v>0.32688927943760593</v>
      </c>
      <c r="Q12">
        <v>0.26477125995542006</v>
      </c>
    </row>
    <row r="13" spans="1:21" x14ac:dyDescent="0.3">
      <c r="A13" s="1" t="s">
        <v>23</v>
      </c>
      <c r="B13" s="1" t="s">
        <v>24</v>
      </c>
      <c r="K13">
        <f t="shared" si="0"/>
        <v>7.5571177504393017E-2</v>
      </c>
      <c r="L13">
        <f t="shared" si="1"/>
        <v>-1.4918517831880029E-3</v>
      </c>
      <c r="P13">
        <v>0.31810193321616609</v>
      </c>
      <c r="Q13">
        <v>0.25771044592567205</v>
      </c>
    </row>
    <row r="14" spans="1:21" x14ac:dyDescent="0.3">
      <c r="A14" s="1" t="s">
        <v>25</v>
      </c>
      <c r="B14" s="1" t="s">
        <v>26</v>
      </c>
      <c r="K14">
        <f t="shared" si="0"/>
        <v>8.4358523725834078E-2</v>
      </c>
      <c r="L14">
        <f t="shared" si="1"/>
        <v>2.0539988319260016E-3</v>
      </c>
      <c r="P14">
        <v>0.30579964850614605</v>
      </c>
      <c r="Q14">
        <v>0.248879795308414</v>
      </c>
    </row>
    <row r="15" spans="1:21" x14ac:dyDescent="0.3">
      <c r="A15" s="1" t="s">
        <v>27</v>
      </c>
      <c r="B15" s="1" t="s">
        <v>28</v>
      </c>
      <c r="K15">
        <f t="shared" si="0"/>
        <v>9.4903339191556135E-2</v>
      </c>
      <c r="L15">
        <f t="shared" si="1"/>
        <v>7.3635085944529777E-3</v>
      </c>
      <c r="P15">
        <v>0.29701230228470599</v>
      </c>
      <c r="Q15">
        <v>0.24006149957134901</v>
      </c>
    </row>
    <row r="16" spans="1:21" x14ac:dyDescent="0.3">
      <c r="A16" s="1" t="s">
        <v>29</v>
      </c>
      <c r="B16" s="1" t="s">
        <v>30</v>
      </c>
      <c r="K16">
        <f t="shared" si="0"/>
        <v>0.10544815465728608</v>
      </c>
      <c r="L16">
        <f t="shared" si="1"/>
        <v>1.2673018356980009E-2</v>
      </c>
      <c r="P16">
        <v>0.28646748681897605</v>
      </c>
      <c r="Q16">
        <v>0.23299450810150399</v>
      </c>
    </row>
    <row r="17" spans="1:17" x14ac:dyDescent="0.3">
      <c r="A17" s="1" t="s">
        <v>31</v>
      </c>
      <c r="B17" s="1" t="s">
        <v>32</v>
      </c>
      <c r="K17">
        <f t="shared" si="0"/>
        <v>0.11423550087872614</v>
      </c>
      <c r="L17">
        <f t="shared" si="1"/>
        <v>1.7976350679412029E-2</v>
      </c>
      <c r="P17">
        <v>0.27240773286466613</v>
      </c>
      <c r="Q17">
        <v>0.22240019833683403</v>
      </c>
    </row>
    <row r="18" spans="1:17" x14ac:dyDescent="0.3">
      <c r="A18" s="1" t="s">
        <v>33</v>
      </c>
      <c r="B18" s="1" t="s">
        <v>34</v>
      </c>
      <c r="K18">
        <f t="shared" si="0"/>
        <v>0.12126537785588609</v>
      </c>
      <c r="L18">
        <f t="shared" si="1"/>
        <v>2.3273505561746982E-2</v>
      </c>
      <c r="P18">
        <v>0.26010544815465608</v>
      </c>
      <c r="Q18">
        <v>0.21356954771957601</v>
      </c>
    </row>
    <row r="19" spans="1:17" x14ac:dyDescent="0.3">
      <c r="A19" s="1" t="s">
        <v>35</v>
      </c>
      <c r="B19" s="1" t="s">
        <v>36</v>
      </c>
      <c r="K19">
        <f t="shared" si="0"/>
        <v>0.13005272407732593</v>
      </c>
      <c r="L19">
        <f t="shared" si="1"/>
        <v>2.8576837884178002E-2</v>
      </c>
      <c r="P19">
        <v>0.24780316344463604</v>
      </c>
      <c r="Q19">
        <v>0.20649637880963598</v>
      </c>
    </row>
    <row r="20" spans="1:17" x14ac:dyDescent="0.3">
      <c r="A20" s="1" t="s">
        <v>37</v>
      </c>
      <c r="B20">
        <v>0.28135768661322802</v>
      </c>
      <c r="K20">
        <f t="shared" si="0"/>
        <v>0.13884007029876599</v>
      </c>
      <c r="L20">
        <f t="shared" si="1"/>
        <v>3.3880170206610022E-2</v>
      </c>
      <c r="P20">
        <v>0.235500878734616</v>
      </c>
      <c r="Q20">
        <v>0.199423209899696</v>
      </c>
    </row>
    <row r="21" spans="1:17" x14ac:dyDescent="0.3">
      <c r="A21" s="1" t="s">
        <v>38</v>
      </c>
      <c r="B21" s="1" t="s">
        <v>39</v>
      </c>
      <c r="K21">
        <f t="shared" si="0"/>
        <v>0.14762741652020606</v>
      </c>
      <c r="L21">
        <f t="shared" si="1"/>
        <v>4.0940984236357975E-2</v>
      </c>
      <c r="P21">
        <v>0.21968365553602598</v>
      </c>
      <c r="Q21">
        <v>0.19058020440224602</v>
      </c>
    </row>
    <row r="22" spans="1:17" x14ac:dyDescent="0.3">
      <c r="A22" s="1" t="s">
        <v>40</v>
      </c>
      <c r="B22" s="1" t="s">
        <v>41</v>
      </c>
      <c r="K22">
        <f t="shared" si="0"/>
        <v>0.15465729349735602</v>
      </c>
      <c r="L22">
        <f t="shared" si="1"/>
        <v>4.6238139118692984E-2</v>
      </c>
      <c r="P22">
        <v>0.20913884007029604</v>
      </c>
      <c r="Q22">
        <v>0.183513212932402</v>
      </c>
    </row>
    <row r="23" spans="1:17" x14ac:dyDescent="0.3">
      <c r="A23" s="1" t="s">
        <v>42</v>
      </c>
      <c r="B23" s="1" t="s">
        <v>43</v>
      </c>
      <c r="K23">
        <f t="shared" si="0"/>
        <v>0.16168717047451597</v>
      </c>
      <c r="L23">
        <f t="shared" si="1"/>
        <v>5.1535294001028992E-2</v>
      </c>
      <c r="P23">
        <v>0.1985940246045661</v>
      </c>
      <c r="Q23">
        <v>0.17644622146255698</v>
      </c>
    </row>
    <row r="24" spans="1:17" x14ac:dyDescent="0.3">
      <c r="A24" s="1" t="s">
        <v>44</v>
      </c>
      <c r="B24" s="1" t="s">
        <v>45</v>
      </c>
      <c r="K24">
        <f t="shared" si="0"/>
        <v>0.16871704745166594</v>
      </c>
      <c r="L24">
        <f t="shared" si="1"/>
        <v>5.6832448883364001E-2</v>
      </c>
      <c r="P24">
        <v>0.18101933216168598</v>
      </c>
      <c r="Q24">
        <v>0.16759703852501198</v>
      </c>
    </row>
    <row r="25" spans="1:17" x14ac:dyDescent="0.3">
      <c r="A25" s="1" t="s">
        <v>46</v>
      </c>
      <c r="B25" s="1" t="s">
        <v>47</v>
      </c>
      <c r="K25">
        <f t="shared" si="0"/>
        <v>0.17574692442881612</v>
      </c>
      <c r="L25">
        <f t="shared" si="1"/>
        <v>6.212960376569901E-2</v>
      </c>
      <c r="P25">
        <v>0.16871704745166594</v>
      </c>
      <c r="Q25">
        <v>0.16052386961507101</v>
      </c>
    </row>
    <row r="26" spans="1:17" x14ac:dyDescent="0.3">
      <c r="A26" s="1" t="s">
        <v>48</v>
      </c>
      <c r="B26">
        <v>0.314898097614557</v>
      </c>
      <c r="K26">
        <f t="shared" si="0"/>
        <v>0.18101933216168598</v>
      </c>
      <c r="L26">
        <f t="shared" si="1"/>
        <v>6.7420581207939007E-2</v>
      </c>
      <c r="P26">
        <v>0.15465729349735602</v>
      </c>
      <c r="Q26">
        <v>0.15168704155771798</v>
      </c>
    </row>
    <row r="27" spans="1:17" x14ac:dyDescent="0.3">
      <c r="A27" s="1" t="s">
        <v>49</v>
      </c>
      <c r="B27" s="1" t="s">
        <v>50</v>
      </c>
      <c r="K27">
        <f t="shared" si="0"/>
        <v>0.18980667838312604</v>
      </c>
      <c r="L27">
        <f t="shared" si="1"/>
        <v>7.4481395237687015E-2</v>
      </c>
      <c r="P27">
        <v>0.13884007029876599</v>
      </c>
      <c r="Q27">
        <v>0.14284403606026799</v>
      </c>
    </row>
    <row r="28" spans="1:17" x14ac:dyDescent="0.3">
      <c r="A28" s="1" t="s">
        <v>51</v>
      </c>
      <c r="B28" s="1" t="s">
        <v>52</v>
      </c>
      <c r="K28">
        <f t="shared" si="0"/>
        <v>0.196836555360276</v>
      </c>
      <c r="L28">
        <f t="shared" si="1"/>
        <v>7.9778550120022024E-2</v>
      </c>
      <c r="P28">
        <v>0.12653778558874595</v>
      </c>
      <c r="Q28">
        <v>0.13577086715032802</v>
      </c>
    </row>
    <row r="29" spans="1:17" x14ac:dyDescent="0.3">
      <c r="A29" s="1" t="s">
        <v>53</v>
      </c>
      <c r="B29" s="1" t="s">
        <v>54</v>
      </c>
      <c r="K29">
        <f t="shared" si="0"/>
        <v>0.20210896309313608</v>
      </c>
      <c r="L29">
        <f t="shared" si="1"/>
        <v>8.6827009269578009E-2</v>
      </c>
      <c r="P29">
        <v>0.11775043936730611</v>
      </c>
      <c r="Q29">
        <v>0.130467534827896</v>
      </c>
    </row>
    <row r="30" spans="1:17" x14ac:dyDescent="0.3">
      <c r="A30" s="1" t="s">
        <v>55</v>
      </c>
      <c r="B30" s="1" t="s">
        <v>56</v>
      </c>
      <c r="K30">
        <f t="shared" si="0"/>
        <v>0.21089630931458592</v>
      </c>
      <c r="L30">
        <f t="shared" si="1"/>
        <v>9.3887823299327017E-2</v>
      </c>
      <c r="P30">
        <v>0.10896309314586605</v>
      </c>
      <c r="Q30">
        <v>0.12516420250546498</v>
      </c>
    </row>
    <row r="31" spans="1:17" x14ac:dyDescent="0.3">
      <c r="A31" s="1" t="s">
        <v>57</v>
      </c>
      <c r="B31" s="1" t="s">
        <v>58</v>
      </c>
      <c r="K31">
        <f t="shared" si="0"/>
        <v>0.2179261862917361</v>
      </c>
      <c r="L31">
        <f t="shared" si="1"/>
        <v>0.10094245988897901</v>
      </c>
      <c r="P31">
        <v>9.6660808435846013E-2</v>
      </c>
      <c r="Q31">
        <v>0.118091033595525</v>
      </c>
    </row>
    <row r="32" spans="1:17" x14ac:dyDescent="0.3">
      <c r="A32" s="1" t="s">
        <v>59</v>
      </c>
      <c r="B32" s="1" t="s">
        <v>60</v>
      </c>
      <c r="K32">
        <f t="shared" si="0"/>
        <v>0.22495606326888606</v>
      </c>
      <c r="L32">
        <f t="shared" si="1"/>
        <v>0.10799709647863201</v>
      </c>
      <c r="P32">
        <v>8.7873462214411058E-2</v>
      </c>
      <c r="Q32">
        <v>0.11103021956577599</v>
      </c>
    </row>
    <row r="33" spans="1:17" x14ac:dyDescent="0.3">
      <c r="A33" s="1" t="s">
        <v>61</v>
      </c>
      <c r="B33" s="1" t="s">
        <v>62</v>
      </c>
      <c r="K33">
        <f t="shared" si="0"/>
        <v>0.23198594024603603</v>
      </c>
      <c r="L33">
        <f t="shared" si="1"/>
        <v>0.11505173306828401</v>
      </c>
      <c r="P33">
        <v>7.7328646748682006E-2</v>
      </c>
      <c r="Q33">
        <v>0.10396322809593198</v>
      </c>
    </row>
    <row r="34" spans="1:17" x14ac:dyDescent="0.3">
      <c r="A34" s="1" t="s">
        <v>63</v>
      </c>
      <c r="B34" s="1" t="s">
        <v>64</v>
      </c>
      <c r="K34">
        <f t="shared" si="0"/>
        <v>0.24077328646748608</v>
      </c>
      <c r="L34">
        <f t="shared" si="1"/>
        <v>0.123870028805349</v>
      </c>
      <c r="P34">
        <v>6.5026362038664076E-2</v>
      </c>
      <c r="Q34">
        <v>9.6890059185991001E-2</v>
      </c>
    </row>
    <row r="35" spans="1:17" x14ac:dyDescent="0.3">
      <c r="A35" s="1" t="s">
        <v>65</v>
      </c>
      <c r="B35" s="1" t="s">
        <v>66</v>
      </c>
      <c r="K35">
        <f t="shared" si="0"/>
        <v>0.24956063268892592</v>
      </c>
      <c r="L35">
        <f t="shared" si="1"/>
        <v>0.132688324542415</v>
      </c>
      <c r="P35">
        <v>5.4481546572935025E-2</v>
      </c>
      <c r="Q35">
        <v>8.8065586008829994E-2</v>
      </c>
    </row>
    <row r="36" spans="1:17" x14ac:dyDescent="0.3">
      <c r="A36" s="1" t="s">
        <v>67</v>
      </c>
      <c r="B36" s="1" t="s">
        <v>68</v>
      </c>
      <c r="K36">
        <f t="shared" si="0"/>
        <v>0.25659050966607611</v>
      </c>
      <c r="L36">
        <f t="shared" si="1"/>
        <v>0.139742961132067</v>
      </c>
      <c r="P36">
        <v>4.3936731107204974E-2</v>
      </c>
      <c r="Q36">
        <v>8.099859453898603E-2</v>
      </c>
    </row>
    <row r="37" spans="1:17" x14ac:dyDescent="0.3">
      <c r="A37" s="1" t="s">
        <v>69</v>
      </c>
      <c r="B37" s="1" t="s">
        <v>70</v>
      </c>
      <c r="K37">
        <f t="shared" si="0"/>
        <v>0.26362038664322607</v>
      </c>
      <c r="L37">
        <f t="shared" si="1"/>
        <v>0.14679759772171999</v>
      </c>
      <c r="P37">
        <v>3.5149384885764023E-2</v>
      </c>
      <c r="Q37">
        <v>7.2180298801919979E-2</v>
      </c>
    </row>
    <row r="38" spans="1:17" x14ac:dyDescent="0.3">
      <c r="A38" s="1" t="s">
        <v>71</v>
      </c>
      <c r="B38" s="1" t="s">
        <v>72</v>
      </c>
      <c r="K38">
        <f t="shared" si="0"/>
        <v>0.27065026362038602</v>
      </c>
      <c r="L38">
        <f t="shared" si="1"/>
        <v>0.15560971601868898</v>
      </c>
      <c r="P38">
        <v>2.8119507908611063E-2</v>
      </c>
      <c r="Q38">
        <v>6.5125662212267982E-2</v>
      </c>
    </row>
    <row r="39" spans="1:17" x14ac:dyDescent="0.3">
      <c r="A39" s="1" t="s">
        <v>73</v>
      </c>
      <c r="B39" s="1" t="s">
        <v>74</v>
      </c>
      <c r="K39">
        <f t="shared" si="0"/>
        <v>0.27768014059753598</v>
      </c>
      <c r="L39">
        <f t="shared" si="1"/>
        <v>0.16266435260834103</v>
      </c>
      <c r="P39">
        <v>2.1089630931457992E-2</v>
      </c>
      <c r="Q39">
        <v>5.8071025622614986E-2</v>
      </c>
    </row>
    <row r="40" spans="1:17" x14ac:dyDescent="0.3">
      <c r="A40" s="1" t="s">
        <v>75</v>
      </c>
      <c r="B40" s="1" t="s">
        <v>76</v>
      </c>
      <c r="K40">
        <f t="shared" si="0"/>
        <v>0.28646748681897605</v>
      </c>
      <c r="L40">
        <f t="shared" si="1"/>
        <v>0.17324013005272401</v>
      </c>
      <c r="P40">
        <v>1.5817223198594021E-2</v>
      </c>
      <c r="Q40">
        <v>5.2780048180375988E-2</v>
      </c>
    </row>
    <row r="41" spans="1:17" x14ac:dyDescent="0.3">
      <c r="A41" s="1" t="s">
        <v>77</v>
      </c>
      <c r="B41" s="1" t="s">
        <v>78</v>
      </c>
      <c r="K41">
        <f t="shared" si="0"/>
        <v>0.29525483304041611</v>
      </c>
      <c r="L41">
        <f t="shared" si="1"/>
        <v>0.18205842578978901</v>
      </c>
      <c r="P41">
        <v>1.0544815465729052E-2</v>
      </c>
      <c r="Q41">
        <v>4.3974107323503014E-2</v>
      </c>
    </row>
    <row r="42" spans="1:17" x14ac:dyDescent="0.3">
      <c r="A42" s="1" t="s">
        <v>79</v>
      </c>
      <c r="B42" s="1" t="s">
        <v>80</v>
      </c>
      <c r="K42">
        <f t="shared" si="0"/>
        <v>0.30228471001756607</v>
      </c>
      <c r="L42">
        <f t="shared" si="1"/>
        <v>0.19087054408675899</v>
      </c>
      <c r="P42">
        <v>7.0298769771520719E-3</v>
      </c>
      <c r="Q42">
        <v>3.6931825614041985E-2</v>
      </c>
    </row>
    <row r="43" spans="1:17" x14ac:dyDescent="0.3">
      <c r="A43" s="1" t="s">
        <v>81</v>
      </c>
      <c r="B43" s="1" t="s">
        <v>82</v>
      </c>
      <c r="K43">
        <f t="shared" si="0"/>
        <v>0.30931458699472603</v>
      </c>
      <c r="L43">
        <f t="shared" si="1"/>
        <v>0.19968266238372798</v>
      </c>
      <c r="P43">
        <v>3.5149384885759805E-3</v>
      </c>
      <c r="Q43">
        <v>3.1647025611898999E-2</v>
      </c>
    </row>
    <row r="44" spans="1:17" x14ac:dyDescent="0.3">
      <c r="A44" s="1" t="s">
        <v>83</v>
      </c>
      <c r="B44" s="1" t="s">
        <v>84</v>
      </c>
      <c r="K44">
        <f t="shared" si="0"/>
        <v>0.31634446397187599</v>
      </c>
      <c r="L44">
        <f t="shared" si="1"/>
        <v>0.20849478068069802</v>
      </c>
      <c r="P44">
        <v>1.7574692442879902E-3</v>
      </c>
      <c r="Q44">
        <v>2.6368403049852024E-2</v>
      </c>
    </row>
    <row r="45" spans="1:17" x14ac:dyDescent="0.3">
      <c r="A45" s="1" t="s">
        <v>85</v>
      </c>
      <c r="B45" s="1" t="s">
        <v>86</v>
      </c>
      <c r="K45">
        <f t="shared" si="0"/>
        <v>0.32161687170473607</v>
      </c>
      <c r="L45">
        <f t="shared" si="1"/>
        <v>0.21730072153757099</v>
      </c>
      <c r="P45">
        <v>0</v>
      </c>
      <c r="Q45">
        <v>2.1089780487804993E-2</v>
      </c>
    </row>
    <row r="46" spans="1:17" x14ac:dyDescent="0.3">
      <c r="A46" s="1" t="s">
        <v>87</v>
      </c>
      <c r="B46" s="1" t="s">
        <v>88</v>
      </c>
      <c r="K46">
        <f t="shared" si="0"/>
        <v>0.33040421792618613</v>
      </c>
      <c r="L46">
        <f t="shared" si="1"/>
        <v>0.22787649898195403</v>
      </c>
      <c r="P46">
        <v>0</v>
      </c>
      <c r="Q46">
        <v>1.7574817073171017E-2</v>
      </c>
    </row>
    <row r="47" spans="1:17" x14ac:dyDescent="0.3">
      <c r="A47" s="1" t="s">
        <v>89</v>
      </c>
      <c r="B47" s="1" t="s">
        <v>90</v>
      </c>
      <c r="K47">
        <f t="shared" si="0"/>
        <v>0.34094903339190608</v>
      </c>
      <c r="L47">
        <f t="shared" si="1"/>
        <v>0.24021593557374901</v>
      </c>
      <c r="P47">
        <v>0</v>
      </c>
      <c r="Q47">
        <v>1.2302371951218999E-2</v>
      </c>
    </row>
    <row r="48" spans="1:17" x14ac:dyDescent="0.3">
      <c r="A48" s="1" t="s">
        <v>91</v>
      </c>
      <c r="B48" s="1" t="s">
        <v>92</v>
      </c>
      <c r="K48">
        <f t="shared" si="0"/>
        <v>0.34973637961335613</v>
      </c>
      <c r="L48">
        <f t="shared" si="1"/>
        <v>0.25079171301813197</v>
      </c>
      <c r="P48">
        <v>0</v>
      </c>
      <c r="Q48">
        <v>7.0299268292679795E-3</v>
      </c>
    </row>
    <row r="49" spans="1:17" x14ac:dyDescent="0.3">
      <c r="A49" s="1" t="s">
        <v>93</v>
      </c>
      <c r="B49" s="1" t="s">
        <v>94</v>
      </c>
      <c r="K49">
        <f t="shared" si="0"/>
        <v>0.35852372583479597</v>
      </c>
      <c r="L49">
        <f t="shared" si="1"/>
        <v>0.263124972169831</v>
      </c>
      <c r="P49">
        <v>0</v>
      </c>
      <c r="Q49">
        <v>0</v>
      </c>
    </row>
    <row r="50" spans="1:17" x14ac:dyDescent="0.3">
      <c r="A50" s="1" t="s">
        <v>95</v>
      </c>
      <c r="B50" s="1" t="s">
        <v>96</v>
      </c>
      <c r="K50">
        <f t="shared" si="0"/>
        <v>0.36555360281194593</v>
      </c>
      <c r="L50">
        <f t="shared" si="1"/>
        <v>0.27545205388143501</v>
      </c>
      <c r="P50">
        <v>1.7574692442879902E-3</v>
      </c>
      <c r="Q50">
        <v>-5.266267681855008E-3</v>
      </c>
    </row>
    <row r="51" spans="1:17" x14ac:dyDescent="0.3">
      <c r="A51" s="1" t="s">
        <v>97</v>
      </c>
      <c r="B51">
        <v>0.535256651999657</v>
      </c>
      <c r="K51">
        <f t="shared" si="0"/>
        <v>0.37258347978909612</v>
      </c>
      <c r="L51">
        <f t="shared" si="1"/>
        <v>0.28777913559303903</v>
      </c>
      <c r="P51">
        <v>7.0298769771520719E-3</v>
      </c>
      <c r="Q51">
        <v>-8.7626987762010056E-3</v>
      </c>
    </row>
    <row r="52" spans="1:17" x14ac:dyDescent="0.3">
      <c r="A52" s="1" t="s">
        <v>98</v>
      </c>
      <c r="B52" s="1" t="s">
        <v>99</v>
      </c>
      <c r="K52">
        <f t="shared" si="0"/>
        <v>0.37961335676625607</v>
      </c>
      <c r="L52">
        <f t="shared" si="1"/>
        <v>0.298348735597325</v>
      </c>
      <c r="P52">
        <v>1.2302284710017042E-2</v>
      </c>
      <c r="Q52">
        <v>-1.2259129870548002E-2</v>
      </c>
    </row>
    <row r="53" spans="1:17" x14ac:dyDescent="0.3">
      <c r="A53" s="1" t="s">
        <v>100</v>
      </c>
      <c r="B53" s="1" t="s">
        <v>101</v>
      </c>
      <c r="K53">
        <f t="shared" si="0"/>
        <v>0.38664323374340603</v>
      </c>
      <c r="L53">
        <f t="shared" si="1"/>
        <v>0.31067581730892901</v>
      </c>
      <c r="P53">
        <v>1.7574692442882012E-2</v>
      </c>
      <c r="Q53">
        <v>-1.3998079257576984E-2</v>
      </c>
    </row>
    <row r="54" spans="1:17" x14ac:dyDescent="0.3">
      <c r="A54" s="1" t="s">
        <v>102</v>
      </c>
      <c r="B54" s="1" t="s">
        <v>103</v>
      </c>
      <c r="K54">
        <f t="shared" si="0"/>
        <v>0.39191564147626612</v>
      </c>
      <c r="L54">
        <f t="shared" si="1"/>
        <v>0.32123923987311898</v>
      </c>
      <c r="P54">
        <v>2.4604569420035083E-2</v>
      </c>
      <c r="Q54">
        <v>-1.3973369497192994E-2</v>
      </c>
    </row>
    <row r="55" spans="1:17" x14ac:dyDescent="0.3">
      <c r="A55" s="1" t="s">
        <v>104</v>
      </c>
      <c r="B55" s="1" t="s">
        <v>105</v>
      </c>
      <c r="K55">
        <f t="shared" si="0"/>
        <v>0.39894551845342607</v>
      </c>
      <c r="L55">
        <f t="shared" si="1"/>
        <v>0.33356632158472299</v>
      </c>
      <c r="P55">
        <v>3.1634446397188043E-2</v>
      </c>
      <c r="Q55">
        <v>-1.3948659736808006E-2</v>
      </c>
    </row>
    <row r="56" spans="1:17" x14ac:dyDescent="0.3">
      <c r="A56" s="1" t="s">
        <v>106</v>
      </c>
      <c r="B56" s="1" t="s">
        <v>107</v>
      </c>
      <c r="K56">
        <f t="shared" si="0"/>
        <v>0.3954305799648461</v>
      </c>
      <c r="L56">
        <f t="shared" si="1"/>
        <v>0.33706893011916506</v>
      </c>
      <c r="P56">
        <v>3.8664323374341003E-2</v>
      </c>
      <c r="Q56">
        <v>-1.3923949976423988E-2</v>
      </c>
    </row>
    <row r="57" spans="1:17" x14ac:dyDescent="0.3">
      <c r="A57">
        <v>1.29701230228471</v>
      </c>
      <c r="B57">
        <v>0.57925546908354397</v>
      </c>
      <c r="K57">
        <f t="shared" si="0"/>
        <v>0.39015817223198601</v>
      </c>
      <c r="L57">
        <f t="shared" si="1"/>
        <v>0.331777952676926</v>
      </c>
      <c r="P57">
        <v>4.5694200351493075E-2</v>
      </c>
      <c r="Q57">
        <v>-1.2141758508723011E-2</v>
      </c>
    </row>
    <row r="58" spans="1:17" x14ac:dyDescent="0.3">
      <c r="A58" s="1" t="s">
        <v>108</v>
      </c>
      <c r="B58" s="1" t="s">
        <v>109</v>
      </c>
      <c r="K58">
        <f t="shared" si="0"/>
        <v>0.38488576449911593</v>
      </c>
      <c r="L58">
        <f t="shared" si="1"/>
        <v>0.32472949352736902</v>
      </c>
      <c r="P58">
        <v>5.2724077328646035E-2</v>
      </c>
      <c r="Q58">
        <v>-1.0359567041022005E-2</v>
      </c>
    </row>
    <row r="59" spans="1:17" x14ac:dyDescent="0.3">
      <c r="A59" s="1" t="s">
        <v>110</v>
      </c>
      <c r="B59" s="1" t="s">
        <v>111</v>
      </c>
      <c r="K59">
        <f t="shared" si="0"/>
        <v>0.37785588752196597</v>
      </c>
      <c r="L59">
        <f t="shared" si="1"/>
        <v>0.31591737523039998</v>
      </c>
      <c r="P59">
        <v>5.9753954305798995E-2</v>
      </c>
      <c r="Q59">
        <v>-8.577375573321E-3</v>
      </c>
    </row>
    <row r="60" spans="1:17" x14ac:dyDescent="0.3">
      <c r="A60" s="1" t="s">
        <v>112</v>
      </c>
      <c r="B60" s="1" t="s">
        <v>113</v>
      </c>
      <c r="K60">
        <f t="shared" si="0"/>
        <v>0.37082601054480602</v>
      </c>
      <c r="L60">
        <f t="shared" si="1"/>
        <v>0.30886273864074698</v>
      </c>
      <c r="P60">
        <v>6.6783831282952066E-2</v>
      </c>
      <c r="Q60">
        <v>-5.0377023983030067E-3</v>
      </c>
    </row>
    <row r="61" spans="1:17" x14ac:dyDescent="0.3">
      <c r="A61" s="1" t="s">
        <v>95</v>
      </c>
      <c r="B61" s="1" t="s">
        <v>114</v>
      </c>
      <c r="K61">
        <f t="shared" si="0"/>
        <v>0.36555360281194593</v>
      </c>
      <c r="L61">
        <f t="shared" si="1"/>
        <v>0.30005679778387406</v>
      </c>
      <c r="P61">
        <v>7.5571177504393017E-2</v>
      </c>
      <c r="Q61">
        <v>-1.4918517831880029E-3</v>
      </c>
    </row>
    <row r="62" spans="1:17" x14ac:dyDescent="0.3">
      <c r="A62" s="1" t="s">
        <v>93</v>
      </c>
      <c r="B62">
        <v>0.54047967760084004</v>
      </c>
      <c r="K62">
        <f t="shared" si="0"/>
        <v>0.35852372583479597</v>
      </c>
      <c r="L62">
        <f t="shared" si="1"/>
        <v>0.29300216119422207</v>
      </c>
      <c r="P62">
        <v>8.4358523725834078E-2</v>
      </c>
      <c r="Q62">
        <v>2.0539988319260016E-3</v>
      </c>
    </row>
    <row r="63" spans="1:17" x14ac:dyDescent="0.3">
      <c r="A63" s="1" t="s">
        <v>115</v>
      </c>
      <c r="B63" s="1" t="s">
        <v>116</v>
      </c>
      <c r="K63">
        <f t="shared" si="0"/>
        <v>0.35149384885763602</v>
      </c>
      <c r="L63">
        <f t="shared" si="1"/>
        <v>0.28594752460456907</v>
      </c>
      <c r="P63">
        <v>9.4903339191556135E-2</v>
      </c>
      <c r="Q63">
        <v>7.3635085944529777E-3</v>
      </c>
    </row>
    <row r="64" spans="1:17" x14ac:dyDescent="0.3">
      <c r="A64" s="1" t="s">
        <v>117</v>
      </c>
      <c r="B64" s="1" t="s">
        <v>118</v>
      </c>
      <c r="K64">
        <f t="shared" si="0"/>
        <v>0.34270650263619595</v>
      </c>
      <c r="L64">
        <f t="shared" si="1"/>
        <v>0.27888671057482106</v>
      </c>
      <c r="P64">
        <v>0.10544815465728608</v>
      </c>
      <c r="Q64">
        <v>1.2673018356980009E-2</v>
      </c>
    </row>
    <row r="65" spans="1:17" x14ac:dyDescent="0.3">
      <c r="A65" s="1" t="s">
        <v>119</v>
      </c>
      <c r="B65" s="1" t="s">
        <v>120</v>
      </c>
      <c r="K65">
        <f t="shared" si="0"/>
        <v>0.33567662565904599</v>
      </c>
      <c r="L65">
        <f t="shared" si="1"/>
        <v>0.27183207398516807</v>
      </c>
      <c r="P65">
        <v>0.11423550087872614</v>
      </c>
      <c r="Q65">
        <v>1.7976350679412029E-2</v>
      </c>
    </row>
    <row r="66" spans="1:17" x14ac:dyDescent="0.3">
      <c r="A66" s="1" t="s">
        <v>121</v>
      </c>
      <c r="B66" s="1" t="s">
        <v>122</v>
      </c>
      <c r="K66">
        <f t="shared" ref="K66:K102" si="2">A66-$A$1</f>
        <v>0.32688927943760593</v>
      </c>
      <c r="L66">
        <f t="shared" ref="L66:L102" si="3">B66-$B$1</f>
        <v>0.26477125995542006</v>
      </c>
      <c r="P66">
        <v>0.12126537785588609</v>
      </c>
      <c r="Q66">
        <v>2.3273505561746982E-2</v>
      </c>
    </row>
    <row r="67" spans="1:17" x14ac:dyDescent="0.3">
      <c r="A67" s="1" t="s">
        <v>123</v>
      </c>
      <c r="B67" s="1" t="s">
        <v>124</v>
      </c>
      <c r="K67">
        <f t="shared" si="2"/>
        <v>0.31810193321616609</v>
      </c>
      <c r="L67">
        <f t="shared" si="3"/>
        <v>0.25771044592567205</v>
      </c>
      <c r="P67">
        <v>0.13005272407732593</v>
      </c>
      <c r="Q67">
        <v>2.8576837884178002E-2</v>
      </c>
    </row>
    <row r="68" spans="1:17" x14ac:dyDescent="0.3">
      <c r="A68" s="1" t="s">
        <v>125</v>
      </c>
      <c r="B68" s="1" t="s">
        <v>126</v>
      </c>
      <c r="K68">
        <f t="shared" si="2"/>
        <v>0.30579964850614605</v>
      </c>
      <c r="L68">
        <f t="shared" si="3"/>
        <v>0.248879795308414</v>
      </c>
      <c r="P68">
        <v>0.13884007029876599</v>
      </c>
      <c r="Q68">
        <v>3.3880170206610022E-2</v>
      </c>
    </row>
    <row r="69" spans="1:17" x14ac:dyDescent="0.3">
      <c r="A69" s="1" t="s">
        <v>127</v>
      </c>
      <c r="B69" s="1" t="s">
        <v>128</v>
      </c>
      <c r="K69">
        <f t="shared" si="2"/>
        <v>0.29701230228470599</v>
      </c>
      <c r="L69">
        <f t="shared" si="3"/>
        <v>0.24006149957134901</v>
      </c>
      <c r="P69">
        <v>0.14762741652020606</v>
      </c>
      <c r="Q69">
        <v>4.0940984236357975E-2</v>
      </c>
    </row>
    <row r="70" spans="1:17" x14ac:dyDescent="0.3">
      <c r="A70" s="1" t="s">
        <v>75</v>
      </c>
      <c r="B70" s="1" t="s">
        <v>129</v>
      </c>
      <c r="K70">
        <f t="shared" si="2"/>
        <v>0.28646748681897605</v>
      </c>
      <c r="L70">
        <f t="shared" si="3"/>
        <v>0.23299450810150399</v>
      </c>
      <c r="P70">
        <v>0.15465729349735602</v>
      </c>
      <c r="Q70">
        <v>4.6238139118692984E-2</v>
      </c>
    </row>
    <row r="71" spans="1:17" x14ac:dyDescent="0.3">
      <c r="A71" s="1" t="s">
        <v>130</v>
      </c>
      <c r="B71" s="1" t="s">
        <v>131</v>
      </c>
      <c r="K71">
        <f t="shared" si="2"/>
        <v>0.27240773286466613</v>
      </c>
      <c r="L71">
        <f t="shared" si="3"/>
        <v>0.22240019833683403</v>
      </c>
      <c r="P71">
        <v>0.16168717047451597</v>
      </c>
      <c r="Q71">
        <v>5.1535294001028992E-2</v>
      </c>
    </row>
    <row r="72" spans="1:17" x14ac:dyDescent="0.3">
      <c r="A72" s="1" t="s">
        <v>132</v>
      </c>
      <c r="B72" s="1" t="s">
        <v>133</v>
      </c>
      <c r="K72">
        <f t="shared" si="2"/>
        <v>0.26010544815465608</v>
      </c>
      <c r="L72">
        <f t="shared" si="3"/>
        <v>0.21356954771957601</v>
      </c>
      <c r="P72">
        <v>0.16871704745166594</v>
      </c>
      <c r="Q72">
        <v>5.6832448883364001E-2</v>
      </c>
    </row>
    <row r="73" spans="1:17" x14ac:dyDescent="0.3">
      <c r="A73" s="1" t="s">
        <v>134</v>
      </c>
      <c r="B73" s="1" t="s">
        <v>135</v>
      </c>
      <c r="K73">
        <f t="shared" si="2"/>
        <v>0.24780316344463604</v>
      </c>
      <c r="L73">
        <f t="shared" si="3"/>
        <v>0.20649637880963598</v>
      </c>
      <c r="P73">
        <v>0.17574692442881612</v>
      </c>
      <c r="Q73">
        <v>6.212960376569901E-2</v>
      </c>
    </row>
    <row r="74" spans="1:17" x14ac:dyDescent="0.3">
      <c r="A74" s="1" t="s">
        <v>136</v>
      </c>
      <c r="B74">
        <v>0.446900726306314</v>
      </c>
      <c r="K74">
        <f t="shared" si="2"/>
        <v>0.235500878734616</v>
      </c>
      <c r="L74">
        <f t="shared" si="3"/>
        <v>0.199423209899696</v>
      </c>
      <c r="P74">
        <v>0.18101933216168598</v>
      </c>
      <c r="Q74">
        <v>6.7420581207939007E-2</v>
      </c>
    </row>
    <row r="75" spans="1:17" x14ac:dyDescent="0.3">
      <c r="A75" s="1" t="s">
        <v>137</v>
      </c>
      <c r="B75" s="1" t="s">
        <v>138</v>
      </c>
      <c r="K75">
        <f t="shared" si="2"/>
        <v>0.21968365553602598</v>
      </c>
      <c r="L75">
        <f t="shared" si="3"/>
        <v>0.19058020440224602</v>
      </c>
      <c r="P75">
        <v>0.18980667838312604</v>
      </c>
      <c r="Q75">
        <v>7.4481395237687015E-2</v>
      </c>
    </row>
    <row r="76" spans="1:17" x14ac:dyDescent="0.3">
      <c r="A76" s="1" t="s">
        <v>139</v>
      </c>
      <c r="B76" s="1" t="s">
        <v>140</v>
      </c>
      <c r="K76">
        <f t="shared" si="2"/>
        <v>0.20913884007029604</v>
      </c>
      <c r="L76">
        <f t="shared" si="3"/>
        <v>0.183513212932402</v>
      </c>
      <c r="P76">
        <v>0.196836555360276</v>
      </c>
      <c r="Q76">
        <v>7.9778550120022024E-2</v>
      </c>
    </row>
    <row r="77" spans="1:17" x14ac:dyDescent="0.3">
      <c r="A77" s="1" t="s">
        <v>141</v>
      </c>
      <c r="B77" s="1" t="s">
        <v>142</v>
      </c>
      <c r="K77">
        <f t="shared" si="2"/>
        <v>0.1985940246045661</v>
      </c>
      <c r="L77">
        <f t="shared" si="3"/>
        <v>0.17644622146255698</v>
      </c>
      <c r="P77">
        <v>0.20210896309313608</v>
      </c>
      <c r="Q77">
        <v>8.6827009269578009E-2</v>
      </c>
    </row>
    <row r="78" spans="1:17" x14ac:dyDescent="0.3">
      <c r="A78" s="1" t="s">
        <v>48</v>
      </c>
      <c r="B78" s="1" t="s">
        <v>143</v>
      </c>
      <c r="K78">
        <f t="shared" si="2"/>
        <v>0.18101933216168598</v>
      </c>
      <c r="L78">
        <f t="shared" si="3"/>
        <v>0.16759703852501198</v>
      </c>
      <c r="P78">
        <v>0.21089630931458592</v>
      </c>
      <c r="Q78">
        <v>9.3887823299327017E-2</v>
      </c>
    </row>
    <row r="79" spans="1:17" x14ac:dyDescent="0.3">
      <c r="A79" s="1" t="s">
        <v>44</v>
      </c>
      <c r="B79" s="1" t="s">
        <v>144</v>
      </c>
      <c r="K79">
        <f t="shared" si="2"/>
        <v>0.16871704745166594</v>
      </c>
      <c r="L79">
        <f t="shared" si="3"/>
        <v>0.16052386961507101</v>
      </c>
      <c r="P79">
        <v>0.2179261862917361</v>
      </c>
      <c r="Q79">
        <v>0.10094245988897901</v>
      </c>
    </row>
    <row r="80" spans="1:17" x14ac:dyDescent="0.3">
      <c r="A80" s="1" t="s">
        <v>40</v>
      </c>
      <c r="B80" s="1" t="s">
        <v>145</v>
      </c>
      <c r="K80">
        <f t="shared" si="2"/>
        <v>0.15465729349735602</v>
      </c>
      <c r="L80">
        <f t="shared" si="3"/>
        <v>0.15168704155771798</v>
      </c>
      <c r="P80">
        <v>0.22495606326888606</v>
      </c>
      <c r="Q80">
        <v>0.10799709647863201</v>
      </c>
    </row>
    <row r="81" spans="1:17" x14ac:dyDescent="0.3">
      <c r="A81" s="1" t="s">
        <v>37</v>
      </c>
      <c r="B81" s="1" t="s">
        <v>146</v>
      </c>
      <c r="K81">
        <f t="shared" si="2"/>
        <v>0.13884007029876599</v>
      </c>
      <c r="L81">
        <f t="shared" si="3"/>
        <v>0.14284403606026799</v>
      </c>
      <c r="P81">
        <v>0.23198594024603603</v>
      </c>
      <c r="Q81">
        <v>0.11505173306828401</v>
      </c>
    </row>
    <row r="82" spans="1:17" x14ac:dyDescent="0.3">
      <c r="A82" s="1" t="s">
        <v>147</v>
      </c>
      <c r="B82" s="1" t="s">
        <v>148</v>
      </c>
      <c r="K82">
        <f t="shared" si="2"/>
        <v>0.12653778558874595</v>
      </c>
      <c r="L82">
        <f t="shared" si="3"/>
        <v>0.13577086715032802</v>
      </c>
      <c r="P82">
        <v>0.24077328646748608</v>
      </c>
      <c r="Q82">
        <v>0.123870028805349</v>
      </c>
    </row>
    <row r="83" spans="1:17" x14ac:dyDescent="0.3">
      <c r="A83" s="1" t="s">
        <v>149</v>
      </c>
      <c r="B83" s="1" t="s">
        <v>150</v>
      </c>
      <c r="K83">
        <f t="shared" si="2"/>
        <v>0.11775043936730611</v>
      </c>
      <c r="L83">
        <f t="shared" si="3"/>
        <v>0.130467534827896</v>
      </c>
      <c r="P83">
        <v>0.24956063268892592</v>
      </c>
      <c r="Q83">
        <v>0.132688324542415</v>
      </c>
    </row>
    <row r="84" spans="1:17" x14ac:dyDescent="0.3">
      <c r="A84" s="1" t="s">
        <v>151</v>
      </c>
      <c r="B84" s="1" t="s">
        <v>152</v>
      </c>
      <c r="K84">
        <f t="shared" si="2"/>
        <v>0.10896309314586605</v>
      </c>
      <c r="L84">
        <f t="shared" si="3"/>
        <v>0.12516420250546498</v>
      </c>
      <c r="P84">
        <v>0.25659050966607611</v>
      </c>
      <c r="Q84">
        <v>0.139742961132067</v>
      </c>
    </row>
    <row r="85" spans="1:17" x14ac:dyDescent="0.3">
      <c r="A85" s="1" t="s">
        <v>153</v>
      </c>
      <c r="B85" s="1" t="s">
        <v>154</v>
      </c>
      <c r="K85">
        <f t="shared" si="2"/>
        <v>9.6660808435846013E-2</v>
      </c>
      <c r="L85">
        <f t="shared" si="3"/>
        <v>0.118091033595525</v>
      </c>
      <c r="P85">
        <v>0.26362038664322607</v>
      </c>
      <c r="Q85">
        <v>0.14679759772171999</v>
      </c>
    </row>
    <row r="86" spans="1:17" x14ac:dyDescent="0.3">
      <c r="A86" s="1" t="s">
        <v>155</v>
      </c>
      <c r="B86" s="1" t="s">
        <v>156</v>
      </c>
      <c r="K86">
        <f t="shared" si="2"/>
        <v>8.7873462214411058E-2</v>
      </c>
      <c r="L86">
        <f t="shared" si="3"/>
        <v>0.11103021956577599</v>
      </c>
      <c r="P86">
        <v>0.27065026362038602</v>
      </c>
      <c r="Q86">
        <v>0.15560971601868898</v>
      </c>
    </row>
    <row r="87" spans="1:17" x14ac:dyDescent="0.3">
      <c r="A87">
        <v>0.98418277680140598</v>
      </c>
      <c r="B87" s="1" t="s">
        <v>157</v>
      </c>
      <c r="K87">
        <f t="shared" si="2"/>
        <v>7.7328646748682006E-2</v>
      </c>
      <c r="L87">
        <f t="shared" si="3"/>
        <v>0.10396322809593198</v>
      </c>
      <c r="P87">
        <v>0.27768014059753598</v>
      </c>
      <c r="Q87">
        <v>0.16266435260834103</v>
      </c>
    </row>
    <row r="88" spans="1:17" x14ac:dyDescent="0.3">
      <c r="A88" s="1" t="s">
        <v>158</v>
      </c>
      <c r="B88" s="1" t="s">
        <v>159</v>
      </c>
      <c r="K88">
        <f t="shared" si="2"/>
        <v>6.5026362038664076E-2</v>
      </c>
      <c r="L88">
        <f t="shared" si="3"/>
        <v>9.6890059185991001E-2</v>
      </c>
      <c r="P88">
        <v>0.28646748681897605</v>
      </c>
      <c r="Q88">
        <v>0.17324013005272401</v>
      </c>
    </row>
    <row r="89" spans="1:17" x14ac:dyDescent="0.3">
      <c r="A89" s="1" t="s">
        <v>160</v>
      </c>
      <c r="B89" s="1" t="s">
        <v>161</v>
      </c>
      <c r="K89">
        <f t="shared" si="2"/>
        <v>5.4481546572935025E-2</v>
      </c>
      <c r="L89">
        <f t="shared" si="3"/>
        <v>8.8065586008829994E-2</v>
      </c>
      <c r="P89">
        <v>0.29525483304041611</v>
      </c>
      <c r="Q89">
        <v>0.18205842578978901</v>
      </c>
    </row>
    <row r="90" spans="1:17" x14ac:dyDescent="0.3">
      <c r="A90" s="1" t="s">
        <v>162</v>
      </c>
      <c r="B90" s="1" t="s">
        <v>163</v>
      </c>
      <c r="K90">
        <f t="shared" si="2"/>
        <v>4.3936731107204974E-2</v>
      </c>
      <c r="L90">
        <f t="shared" si="3"/>
        <v>8.099859453898603E-2</v>
      </c>
      <c r="P90">
        <v>0.30228471001756607</v>
      </c>
      <c r="Q90">
        <v>0.19087054408675899</v>
      </c>
    </row>
    <row r="91" spans="1:17" x14ac:dyDescent="0.3">
      <c r="A91" s="1" t="s">
        <v>164</v>
      </c>
      <c r="B91" s="1" t="s">
        <v>165</v>
      </c>
      <c r="K91">
        <f t="shared" si="2"/>
        <v>3.5149384885764023E-2</v>
      </c>
      <c r="L91">
        <f t="shared" si="3"/>
        <v>7.2180298801919979E-2</v>
      </c>
      <c r="P91">
        <v>0.30931458699472603</v>
      </c>
      <c r="Q91">
        <v>0.19968266238372798</v>
      </c>
    </row>
    <row r="92" spans="1:17" x14ac:dyDescent="0.3">
      <c r="A92" s="1" t="s">
        <v>166</v>
      </c>
      <c r="B92" s="1" t="s">
        <v>167</v>
      </c>
      <c r="K92">
        <f t="shared" si="2"/>
        <v>2.8119507908611063E-2</v>
      </c>
      <c r="L92">
        <f t="shared" si="3"/>
        <v>6.5125662212267982E-2</v>
      </c>
      <c r="P92">
        <v>0.31634446397187599</v>
      </c>
      <c r="Q92">
        <v>0.20849478068069802</v>
      </c>
    </row>
    <row r="93" spans="1:17" x14ac:dyDescent="0.3">
      <c r="A93" s="1" t="s">
        <v>168</v>
      </c>
      <c r="B93" s="1" t="s">
        <v>169</v>
      </c>
      <c r="K93">
        <f t="shared" si="2"/>
        <v>2.1089630931457992E-2</v>
      </c>
      <c r="L93">
        <f t="shared" si="3"/>
        <v>5.8071025622614986E-2</v>
      </c>
      <c r="P93">
        <v>0.32161687170473607</v>
      </c>
      <c r="Q93">
        <v>0.21730072153757099</v>
      </c>
    </row>
    <row r="94" spans="1:17" x14ac:dyDescent="0.3">
      <c r="A94">
        <v>0.92267135325131799</v>
      </c>
      <c r="B94" s="1" t="s">
        <v>170</v>
      </c>
      <c r="K94">
        <f t="shared" si="2"/>
        <v>1.5817223198594021E-2</v>
      </c>
      <c r="L94">
        <f t="shared" si="3"/>
        <v>5.2780048180375988E-2</v>
      </c>
      <c r="P94">
        <v>0.33040421792618613</v>
      </c>
      <c r="Q94">
        <v>0.22787649898195403</v>
      </c>
    </row>
    <row r="95" spans="1:17" x14ac:dyDescent="0.3">
      <c r="A95" s="1" t="s">
        <v>171</v>
      </c>
      <c r="B95" s="1" t="s">
        <v>172</v>
      </c>
      <c r="K95">
        <f t="shared" si="2"/>
        <v>1.0544815465729052E-2</v>
      </c>
      <c r="L95">
        <f t="shared" si="3"/>
        <v>4.3974107323503014E-2</v>
      </c>
      <c r="P95">
        <v>0.34094903339190608</v>
      </c>
      <c r="Q95">
        <v>0.24021593557374901</v>
      </c>
    </row>
    <row r="96" spans="1:17" x14ac:dyDescent="0.3">
      <c r="A96" s="1" t="s">
        <v>3</v>
      </c>
      <c r="B96" s="1" t="s">
        <v>173</v>
      </c>
      <c r="K96">
        <f t="shared" si="2"/>
        <v>7.0298769771520719E-3</v>
      </c>
      <c r="L96">
        <f t="shared" si="3"/>
        <v>3.6931825614041985E-2</v>
      </c>
      <c r="P96">
        <v>0.34973637961335613</v>
      </c>
      <c r="Q96">
        <v>0.25079171301813197</v>
      </c>
    </row>
    <row r="97" spans="1:17" x14ac:dyDescent="0.3">
      <c r="A97" s="1" t="s">
        <v>174</v>
      </c>
      <c r="B97" s="1" t="s">
        <v>175</v>
      </c>
      <c r="K97">
        <f t="shared" si="2"/>
        <v>3.5149384885759805E-3</v>
      </c>
      <c r="L97">
        <f t="shared" si="3"/>
        <v>3.1647025611898999E-2</v>
      </c>
      <c r="P97">
        <v>0.35852372583479597</v>
      </c>
      <c r="Q97">
        <v>0.263124972169831</v>
      </c>
    </row>
    <row r="98" spans="1:17" x14ac:dyDescent="0.3">
      <c r="A98" s="1" t="s">
        <v>1</v>
      </c>
      <c r="B98" s="1" t="s">
        <v>176</v>
      </c>
      <c r="K98">
        <f t="shared" si="2"/>
        <v>1.7574692442879902E-3</v>
      </c>
      <c r="L98">
        <f t="shared" si="3"/>
        <v>2.6368403049852024E-2</v>
      </c>
      <c r="P98">
        <v>0.36555360281194593</v>
      </c>
      <c r="Q98">
        <v>0.27545205388143501</v>
      </c>
    </row>
    <row r="99" spans="1:17" x14ac:dyDescent="0.3">
      <c r="A99">
        <v>0.90685413005272397</v>
      </c>
      <c r="B99" s="1" t="s">
        <v>177</v>
      </c>
      <c r="K99">
        <f t="shared" si="2"/>
        <v>0</v>
      </c>
      <c r="L99">
        <f t="shared" si="3"/>
        <v>2.1089780487804993E-2</v>
      </c>
      <c r="P99">
        <v>0.37258347978909612</v>
      </c>
      <c r="Q99">
        <v>0.28777913559303903</v>
      </c>
    </row>
    <row r="100" spans="1:17" x14ac:dyDescent="0.3">
      <c r="A100">
        <v>0.90685413005272397</v>
      </c>
      <c r="B100" s="1" t="s">
        <v>178</v>
      </c>
      <c r="K100">
        <f t="shared" si="2"/>
        <v>0</v>
      </c>
      <c r="L100">
        <f t="shared" si="3"/>
        <v>1.7574817073171017E-2</v>
      </c>
      <c r="P100">
        <v>0.37961335676625607</v>
      </c>
      <c r="Q100">
        <v>0.298348735597325</v>
      </c>
    </row>
    <row r="101" spans="1:17" x14ac:dyDescent="0.3">
      <c r="A101">
        <v>0.90685413005272397</v>
      </c>
      <c r="B101" s="1" t="s">
        <v>179</v>
      </c>
      <c r="K101">
        <f t="shared" si="2"/>
        <v>0</v>
      </c>
      <c r="L101">
        <f t="shared" si="3"/>
        <v>1.2302371951218999E-2</v>
      </c>
      <c r="P101">
        <v>0.38664323374340603</v>
      </c>
      <c r="Q101">
        <v>0.31067581730892901</v>
      </c>
    </row>
    <row r="102" spans="1:17" x14ac:dyDescent="0.3">
      <c r="A102">
        <v>0.90685413005272397</v>
      </c>
      <c r="B102" s="1" t="s">
        <v>180</v>
      </c>
      <c r="K102">
        <f t="shared" si="2"/>
        <v>0</v>
      </c>
      <c r="L102">
        <f t="shared" si="3"/>
        <v>7.0299268292679795E-3</v>
      </c>
      <c r="P102">
        <v>0.39191564147626612</v>
      </c>
      <c r="Q102">
        <v>0.32123923987311898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center_second_element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Sanguinetti</dc:creator>
  <cp:lastModifiedBy>Sanguinetti, Anthony Joseph</cp:lastModifiedBy>
  <dcterms:created xsi:type="dcterms:W3CDTF">2026-05-07T08:01:12Z</dcterms:created>
  <dcterms:modified xsi:type="dcterms:W3CDTF">2026-05-07T09:16:27Z</dcterms:modified>
</cp:coreProperties>
</file>