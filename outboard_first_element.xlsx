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563B3FFA-F466-4E85-807C-94F403855476}" xr6:coauthVersionLast="47" xr6:coauthVersionMax="47" xr10:uidLastSave="{00000000-0000-0000-0000-000000000000}"/>
  <bookViews>
    <workbookView xWindow="-108" yWindow="-108" windowWidth="23256" windowHeight="12456" xr2:uid="{3DD4E9C1-77CB-674A-AD41-65682A496C4C}"/>
  </bookViews>
  <sheets>
    <sheet name="center_first_e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" i="1"/>
</calcChain>
</file>

<file path=xl/sharedStrings.xml><?xml version="1.0" encoding="utf-8"?>
<sst xmlns="http://schemas.openxmlformats.org/spreadsheetml/2006/main" count="282" uniqueCount="274">
  <si>
    <t xml:space="preserve"> 0.2847058591452698</t>
  </si>
  <si>
    <t xml:space="preserve"> 0.2811908957306356</t>
  </si>
  <si>
    <t xml:space="preserve"> 0.2759246280487804</t>
  </si>
  <si>
    <t xml:space="preserve"> 0.27065836036692525</t>
  </si>
  <si>
    <t xml:space="preserve"> 0.2671557518324831</t>
  </si>
  <si>
    <t xml:space="preserve"> 0.2636531432980411</t>
  </si>
  <si>
    <t>0.014059753954305837</t>
  </si>
  <si>
    <t xml:space="preserve"> 0.26015671220369496</t>
  </si>
  <si>
    <t xml:space="preserve"> 0.2566541036692528</t>
  </si>
  <si>
    <t>0.022847100175746926</t>
  </si>
  <si>
    <t xml:space="preserve"> 0.25315767257490673</t>
  </si>
  <si>
    <t xml:space="preserve"> 0.2514125457477817</t>
  </si>
  <si>
    <t xml:space="preserve"> 0.24791611465343555</t>
  </si>
  <si>
    <t>0.038664323374340975</t>
  </si>
  <si>
    <t xml:space="preserve"> 0.24442586099918562</t>
  </si>
  <si>
    <t xml:space="preserve"> 0.24094178478503148</t>
  </si>
  <si>
    <t xml:space="preserve"> 0.23920901283809848</t>
  </si>
  <si>
    <t xml:space="preserve"> 0.23573111406404035</t>
  </si>
  <si>
    <t xml:space="preserve"> 0.23401069699729948</t>
  </si>
  <si>
    <t xml:space="preserve"> 0.23227792505036648</t>
  </si>
  <si>
    <t xml:space="preserve"> 0.2305513305435294</t>
  </si>
  <si>
    <t>0.10017574692442882</t>
  </si>
  <si>
    <t xml:space="preserve"> 0.2288247360366925</t>
  </si>
  <si>
    <t>0.10896309314586994</t>
  </si>
  <si>
    <t xml:space="preserve"> 0.22709814152985552</t>
  </si>
  <si>
    <t>0.11950790861159932</t>
  </si>
  <si>
    <t xml:space="preserve"> 0.22537772446311455</t>
  </si>
  <si>
    <t>0.13005272407732865</t>
  </si>
  <si>
    <t xml:space="preserve"> 0.22541478910369073</t>
  </si>
  <si>
    <t>0.13708260105448156</t>
  </si>
  <si>
    <t xml:space="preserve"> 0.22543949886407477</t>
  </si>
  <si>
    <t>0.14586994727592273</t>
  </si>
  <si>
    <t xml:space="preserve"> 0.22547038606455483</t>
  </si>
  <si>
    <t>0.15641476274165206</t>
  </si>
  <si>
    <t xml:space="preserve"> 0.22374996899781396</t>
  </si>
  <si>
    <t>0.1687170474516696</t>
  </si>
  <si>
    <t xml:space="preserve"> 0.22379321107848604</t>
  </si>
  <si>
    <t>0.1810193321616872</t>
  </si>
  <si>
    <t xml:space="preserve"> 0.22383645315915812</t>
  </si>
  <si>
    <t>0.1933216168717048</t>
  </si>
  <si>
    <t xml:space="preserve"> 0.2238796952398303</t>
  </si>
  <si>
    <t>0.20738137082601055</t>
  </si>
  <si>
    <t xml:space="preserve"> 0.22217163305328125</t>
  </si>
  <si>
    <t>0.22495606326889278</t>
  </si>
  <si>
    <t xml:space="preserve"> 0.22223340745424147</t>
  </si>
  <si>
    <t>0.2355008787346221</t>
  </si>
  <si>
    <t xml:space="preserve"> 0.22227047209481754</t>
  </si>
  <si>
    <t>0.24780316344463976</t>
  </si>
  <si>
    <t xml:space="preserve"> 0.22407119588280688</t>
  </si>
  <si>
    <t>0.2601054481546573</t>
  </si>
  <si>
    <t xml:space="preserve"> 0.22411443796347896</t>
  </si>
  <si>
    <t>0.2724077328646749</t>
  </si>
  <si>
    <t xml:space="preserve"> 0.22415768004415104</t>
  </si>
  <si>
    <t>0.28295254833040423</t>
  </si>
  <si>
    <t xml:space="preserve"> 0.22419474468472722</t>
  </si>
  <si>
    <t>0.2917398945518454</t>
  </si>
  <si>
    <t xml:space="preserve"> 0.22422563188520728</t>
  </si>
  <si>
    <t>0.30228471001757473</t>
  </si>
  <si>
    <t xml:space="preserve"> 0.2260201782331004</t>
  </si>
  <si>
    <t>0.3110720562390158</t>
  </si>
  <si>
    <t xml:space="preserve"> 0.22605106543358056</t>
  </si>
  <si>
    <t>0.3251318101933216</t>
  </si>
  <si>
    <t xml:space="preserve"> 0.2278579666616657</t>
  </si>
  <si>
    <t xml:space="preserve"> 0.2296525130095588</t>
  </si>
  <si>
    <t>0.3497363796133568</t>
  </si>
  <si>
    <t>0.36731107205623903</t>
  </si>
  <si>
    <t xml:space="preserve"> 0.23152118863860427</t>
  </si>
  <si>
    <t>0.38312829525483305</t>
  </si>
  <si>
    <t xml:space="preserve"> 0.23333426730678553</t>
  </si>
  <si>
    <t>0.3989455184534271</t>
  </si>
  <si>
    <t xml:space="preserve"> 0.23514734597496678</t>
  </si>
  <si>
    <t>0.40949033391915635</t>
  </si>
  <si>
    <t xml:space="preserve"> 0.2369418923228599</t>
  </si>
  <si>
    <t>0.4253075571177505</t>
  </si>
  <si>
    <t xml:space="preserve"> 0.23875497099104115</t>
  </si>
  <si>
    <t>0.4393673110720562</t>
  </si>
  <si>
    <t xml:space="preserve"> 0.2405618722191264</t>
  </si>
  <si>
    <t>0.4551845342706502</t>
  </si>
  <si>
    <t xml:space="preserve"> 0.2441324325946247</t>
  </si>
  <si>
    <t>0.47275922671353243</t>
  </si>
  <si>
    <t xml:space="preserve"> 0.24595168870290196</t>
  </si>
  <si>
    <t xml:space="preserve"> 0.24953460395859228</t>
  </si>
  <si>
    <t>0.5096660808435852</t>
  </si>
  <si>
    <t xml:space="preserve"> 0.2531113417741866</t>
  </si>
  <si>
    <t>0.5254833040421792</t>
  </si>
  <si>
    <t xml:space="preserve"> 0.25492442044236785</t>
  </si>
  <si>
    <t>0.5571177504393673</t>
  </si>
  <si>
    <t xml:space="preserve"> 0.2603080594860474</t>
  </si>
  <si>
    <t>0.5729349736379614</t>
  </si>
  <si>
    <t xml:space="preserve"> 0.2638786198615457</t>
  </si>
  <si>
    <t>0.5887521968365554</t>
  </si>
  <si>
    <t>0.6063268892794376</t>
  </si>
  <si>
    <t xml:space="preserve"> 0.26926843634532127</t>
  </si>
  <si>
    <t>0.6203866432337434</t>
  </si>
  <si>
    <t xml:space="preserve"> 0.27283281928072356</t>
  </si>
  <si>
    <t>0.6362038664323374</t>
  </si>
  <si>
    <t xml:space="preserve"> 0.27640337965622186</t>
  </si>
  <si>
    <t>0.6608084358523725</t>
  </si>
  <si>
    <t xml:space="preserve"> 0.2800048272322001</t>
  </si>
  <si>
    <t>0.6801405975395431</t>
  </si>
  <si>
    <t xml:space="preserve"> 0.2853452241952077</t>
  </si>
  <si>
    <t>0.6977152899824253</t>
  </si>
  <si>
    <t>0.7100175746924429</t>
  </si>
  <si>
    <t xml:space="preserve"> 0.29072268579879124</t>
  </si>
  <si>
    <t xml:space="preserve"> 0.2942685364139054</t>
  </si>
  <si>
    <t>0.7346221441124781</t>
  </si>
  <si>
    <t xml:space="preserve"> 0.2978390967894037</t>
  </si>
  <si>
    <t>0.7451669595782073</t>
  </si>
  <si>
    <t xml:space="preserve"> 0.2996336431372969</t>
  </si>
  <si>
    <t>0.7574692442882249</t>
  </si>
  <si>
    <t xml:space="preserve"> 0.3031918486326032</t>
  </si>
  <si>
    <t>0.7750439367311073</t>
  </si>
  <si>
    <t xml:space="preserve"> 0.30852606815551453</t>
  </si>
  <si>
    <t xml:space="preserve"> 0.31209045109091693</t>
  </si>
  <si>
    <t>0.7996485061511424</t>
  </si>
  <si>
    <t xml:space="preserve"> 0.3156424791461271</t>
  </si>
  <si>
    <t>0.8154657293497363</t>
  </si>
  <si>
    <t xml:space="preserve"> 0.3192130395216254</t>
  </si>
  <si>
    <t>0.8312829525483305</t>
  </si>
  <si>
    <t xml:space="preserve"> 0.32454108160444073</t>
  </si>
  <si>
    <t>0.8471001757469245</t>
  </si>
  <si>
    <t xml:space="preserve"> 0.3298691236872562</t>
  </si>
  <si>
    <t>0.8629173989455186</t>
  </si>
  <si>
    <t xml:space="preserve"> 0.3334396840627544</t>
  </si>
  <si>
    <t>0.8787346221441124</t>
  </si>
  <si>
    <t xml:space="preserve"> 0.3387677261455698</t>
  </si>
  <si>
    <t>0.8963093145869947</t>
  </si>
  <si>
    <t xml:space="preserve"> 0.34234446396116414</t>
  </si>
  <si>
    <t>0.9138840070298768</t>
  </si>
  <si>
    <t xml:space="preserve"> 0.3476786834840756</t>
  </si>
  <si>
    <t xml:space="preserve"> 0.3512245340991898</t>
  </si>
  <si>
    <t>0.9349736379613356</t>
  </si>
  <si>
    <t xml:space="preserve"> 0.3547827395944961</t>
  </si>
  <si>
    <t>0.9507908611599296</t>
  </si>
  <si>
    <t xml:space="preserve"> 0.3601107816773114</t>
  </si>
  <si>
    <t xml:space="preserve"> 0.36544500120022283</t>
  </si>
  <si>
    <t>0.9824253075571177</t>
  </si>
  <si>
    <t xml:space="preserve"> 0.37076686584294216</t>
  </si>
  <si>
    <t>0.9964850615114236</t>
  </si>
  <si>
    <t xml:space="preserve"> 0.3743312487783445</t>
  </si>
  <si>
    <t>1.0035149384885764</t>
  </si>
  <si>
    <t xml:space="preserve"> 0.3761134402460456</t>
  </si>
  <si>
    <t xml:space="preserve"> 0.3831310121951219</t>
  </si>
  <si>
    <t>0.9947275922671353</t>
  </si>
  <si>
    <t xml:space="preserve"> 0.3813549981675167</t>
  </si>
  <si>
    <t>0.9806678383128296</t>
  </si>
  <si>
    <t xml:space="preserve"> 0.3813055786467486</t>
  </si>
  <si>
    <t>0.9666080843585236</t>
  </si>
  <si>
    <t xml:space="preserve"> 0.3794986774186634</t>
  </si>
  <si>
    <t xml:space="preserve"> 0.3759281170431651</t>
  </si>
  <si>
    <t>0.9314586994727592</t>
  </si>
  <si>
    <t xml:space="preserve"> 0.37234520178747477</t>
  </si>
  <si>
    <t xml:space="preserve"> 0.3705259456791975</t>
  </si>
  <si>
    <t>0.8945518453427064</t>
  </si>
  <si>
    <t xml:space="preserve"> 0.3687005121308242</t>
  </si>
  <si>
    <t>0.8804920913884007</t>
  </si>
  <si>
    <t xml:space="preserve"> 0.36689361090273903</t>
  </si>
  <si>
    <t xml:space="preserve"> 0.3650867096746538</t>
  </si>
  <si>
    <t>0.8523725834797891</t>
  </si>
  <si>
    <t xml:space="preserve"> 0.36327980844656854</t>
  </si>
  <si>
    <t>0.8383128295254834</t>
  </si>
  <si>
    <t xml:space="preserve"> 0.3632303889258004</t>
  </si>
  <si>
    <t>0.8242530755711774</t>
  </si>
  <si>
    <t xml:space="preserve"> 0.36142348769771526</t>
  </si>
  <si>
    <t>0.8119507908611598</t>
  </si>
  <si>
    <t xml:space="preserve"> 0.3613802456170431</t>
  </si>
  <si>
    <t xml:space="preserve"> 0.3595795218290539</t>
  </si>
  <si>
    <t xml:space="preserve"> 0.35954245718847777</t>
  </si>
  <si>
    <t>0.7768014059753955</t>
  </si>
  <si>
    <t xml:space="preserve"> 0.35949921510780564</t>
  </si>
  <si>
    <t>0.7644991212653778</t>
  </si>
  <si>
    <t xml:space="preserve"> 0.35945597302713356</t>
  </si>
  <si>
    <t>0.7486818980667838</t>
  </si>
  <si>
    <t xml:space="preserve"> 0.35764289435895236</t>
  </si>
  <si>
    <t>0.7328646748681897</t>
  </si>
  <si>
    <t xml:space="preserve"> 0.35758729739808814</t>
  </si>
  <si>
    <t>0.7117750439367311</t>
  </si>
  <si>
    <t xml:space="preserve"> 0.35751316811693595</t>
  </si>
  <si>
    <t>0.6906854130052724</t>
  </si>
  <si>
    <t xml:space="preserve"> 0.35743903883578376</t>
  </si>
  <si>
    <t>0.6748681898066783</t>
  </si>
  <si>
    <t xml:space="preserve"> 0.3573834418749196</t>
  </si>
  <si>
    <t>0.6555360281195078</t>
  </si>
  <si>
    <t xml:space="preserve"> 0.35731549003386337</t>
  </si>
  <si>
    <t>0.6309314586994728</t>
  </si>
  <si>
    <t xml:space="preserve"> 0.3589864875798362</t>
  </si>
  <si>
    <t>0.6186291739894552</t>
  </si>
  <si>
    <t xml:space="preserve"> 0.35894324549916407</t>
  </si>
  <si>
    <t xml:space="preserve"> 0.35890000341849193</t>
  </si>
  <si>
    <t>0.5922671353251319</t>
  </si>
  <si>
    <t xml:space="preserve"> 0.3588505838977238</t>
  </si>
  <si>
    <t>0.5764499121265378</t>
  </si>
  <si>
    <t xml:space="preserve"> 0.35879498693685963</t>
  </si>
  <si>
    <t>0.5606326889279437</t>
  </si>
  <si>
    <t xml:space="preserve"> 0.35873938997599547</t>
  </si>
  <si>
    <t>0.5430579964850615</t>
  </si>
  <si>
    <t xml:space="preserve"> 0.3604350972823524</t>
  </si>
  <si>
    <t xml:space="preserve"> 0.3603671454412962</t>
  </si>
  <si>
    <t xml:space="preserve"> 0.36206903018774905</t>
  </si>
  <si>
    <t>0.49912126537785595</t>
  </si>
  <si>
    <t>0.48506151142355014</t>
  </si>
  <si>
    <t xml:space="preserve"> 0.36374620517381795</t>
  </si>
  <si>
    <t>0.4710017574692442</t>
  </si>
  <si>
    <t xml:space="preserve"> 0.3636967856530498</t>
  </si>
  <si>
    <t xml:space="preserve"> 0.36364118869218565</t>
  </si>
  <si>
    <t>0.4428822495606327</t>
  </si>
  <si>
    <t xml:space="preserve"> 0.3635979466115135</t>
  </si>
  <si>
    <t>0.4270650263620387</t>
  </si>
  <si>
    <t xml:space="preserve"> 0.36529983135796645</t>
  </si>
  <si>
    <t>0.41124780316344467</t>
  </si>
  <si>
    <t xml:space="preserve"> 0.3652442343971023</t>
  </si>
  <si>
    <t>0.39543057996485065</t>
  </si>
  <si>
    <t xml:space="preserve"> 0.36518863743623814</t>
  </si>
  <si>
    <t>0.37258347978910367</t>
  </si>
  <si>
    <t xml:space="preserve"> 0.3651083307149899</t>
  </si>
  <si>
    <t>0.36028119507908607</t>
  </si>
  <si>
    <t xml:space="preserve"> 0.36682257034163485</t>
  </si>
  <si>
    <t>0.3479789103690686</t>
  </si>
  <si>
    <t xml:space="preserve"> 0.3667793282609627</t>
  </si>
  <si>
    <t>0.3374340949033392</t>
  </si>
  <si>
    <t xml:space="preserve"> 0.3667422636203866</t>
  </si>
  <si>
    <t>0.32864674868189814</t>
  </si>
  <si>
    <t xml:space="preserve"> 0.36671137641990653</t>
  </si>
  <si>
    <t>0.31810193321616864</t>
  </si>
  <si>
    <t xml:space="preserve"> 0.3666743117793304</t>
  </si>
  <si>
    <t>0.3005272407732865</t>
  </si>
  <si>
    <t xml:space="preserve"> 0.36661253737837024</t>
  </si>
  <si>
    <t>0.2688927943760984</t>
  </si>
  <si>
    <t xml:space="preserve"> 0.3647438617493249</t>
  </si>
  <si>
    <t>0.25483304042179267</t>
  </si>
  <si>
    <t xml:space="preserve"> 0.36469444222855674</t>
  </si>
  <si>
    <t>0.2407732864674868</t>
  </si>
  <si>
    <t xml:space="preserve"> 0.3646450227077886</t>
  </si>
  <si>
    <t>0.22847100175746926</t>
  </si>
  <si>
    <t xml:space="preserve"> 0.36284429891979936</t>
  </si>
  <si>
    <t>0.20913884007029881</t>
  </si>
  <si>
    <t xml:space="preserve"> 0.3627763470787432</t>
  </si>
  <si>
    <t xml:space="preserve"> 0.36096944585065793</t>
  </si>
  <si>
    <t>0.17750439367311072</t>
  </si>
  <si>
    <t xml:space="preserve"> 0.35915018974238067</t>
  </si>
  <si>
    <t>0.16344463971880496</t>
  </si>
  <si>
    <t xml:space="preserve"> 0.3573432885142955</t>
  </si>
  <si>
    <t>0.14938488576449915</t>
  </si>
  <si>
    <t xml:space="preserve"> 0.3555363872862103</t>
  </si>
  <si>
    <t>0.1353251318101934</t>
  </si>
  <si>
    <t xml:space="preserve"> 0.3537294860581251</t>
  </si>
  <si>
    <t xml:space="preserve"> 0.35191640738994384</t>
  </si>
  <si>
    <t>0.10544815465729351</t>
  </si>
  <si>
    <t xml:space="preserve"> 0.34835202445454155</t>
  </si>
  <si>
    <t xml:space="preserve"> 0.3465513006665523</t>
  </si>
  <si>
    <t xml:space="preserve"> 0.3429992726113421</t>
  </si>
  <si>
    <t xml:space="preserve"> 0.3394472445561318</t>
  </si>
  <si>
    <t xml:space="preserve"> 0.33588903906082557</t>
  </si>
  <si>
    <t>0.049209138840070304</t>
  </si>
  <si>
    <t xml:space="preserve"> 0.33233701100561525</t>
  </si>
  <si>
    <t>0.024604569420035166</t>
  </si>
  <si>
    <t xml:space="preserve"> 0.3199481548930515</t>
  </si>
  <si>
    <t xml:space="preserve"> 0.31465100001071633</t>
  </si>
  <si>
    <t>0.012302284710017597</t>
  </si>
  <si>
    <t xml:space="preserve"> 0.3111175042757941</t>
  </si>
  <si>
    <t xml:space="preserve"> 0.3075901859809679</t>
  </si>
  <si>
    <t xml:space="preserve"> 0.30406286768614166</t>
  </si>
  <si>
    <t xml:space="preserve"> 0.2987780676839984</t>
  </si>
  <si>
    <t xml:space="preserve"> 0.29349944512195114</t>
  </si>
  <si>
    <t>&lt;--</t>
  </si>
  <si>
    <t>webplot digitizer points</t>
  </si>
  <si>
    <t>webplot digitizer points with LE at origin</t>
  </si>
  <si>
    <t>&gt;</t>
  </si>
  <si>
    <t>LE to lower surface to TE</t>
  </si>
  <si>
    <t>to upper surface to LE</t>
  </si>
  <si>
    <t>JavaFoil coords</t>
  </si>
  <si>
    <t>TE to upper surface to LE</t>
  </si>
  <si>
    <t>to lower surface to TE</t>
  </si>
  <si>
    <t>AoA = 5.4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</si>
</sst>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729574</xdr:colOff>
      <xdr:row>3</xdr:row>
      <xdr:rowOff>178341</xdr:rowOff>
    </xdr:from>
    <xdr:to>
      <xdr:col>30</xdr:col>
      <xdr:colOff>112891</xdr:colOff>
      <xdr:row>50</xdr:row>
      <xdr:rowOff>114434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2C7FA1-C19C-32E6-65BA-BA1746361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7276" y="762001"/>
          <a:ext cx="10553913" cy="9080093"/>
        </a:xfrm>
        <a:prstGeom prst="rect">
          <a:avLst/>
        </a:prstGeom>
      </xdr:spPr>
    </xdr:pic>
    <xdr:clientData/>
  </xdr:twoCellAnchor>
  <xdr:twoCellAnchor editAs="oneCell">
    <xdr:from>
      <xdr:col>30</xdr:col>
      <xdr:colOff>425615</xdr:colOff>
      <xdr:row>3</xdr:row>
      <xdr:rowOff>101363</xdr:rowOff>
    </xdr:from>
    <xdr:to>
      <xdr:col>42</xdr:col>
      <xdr:colOff>639630</xdr:colOff>
      <xdr:row>50</xdr:row>
      <xdr:rowOff>50534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E2D598-B15D-065F-5B78-EEEA90F00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03913" y="685023"/>
          <a:ext cx="10525334" cy="9093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5CCA-AD9E-E046-8896-B34E5CC8B123}">
  <dimension ref="A1:U161"/>
  <sheetViews>
    <sheetView tabSelected="1" topLeftCell="I4" zoomScale="55" workbookViewId="0">
      <selection activeCell="Q27" sqref="Q27"/>
    </sheetView>
  </sheetViews>
  <sheetFormatPr defaultColWidth="11.19921875" defaultRowHeight="15.6" x14ac:dyDescent="0.3"/>
  <sheetData>
    <row r="1" spans="1:21" x14ac:dyDescent="0.3">
      <c r="A1">
        <v>-1.7574692442882101E-3</v>
      </c>
      <c r="B1">
        <v>0.288220822559904</v>
      </c>
      <c r="D1" t="s">
        <v>264</v>
      </c>
      <c r="E1" t="s">
        <v>265</v>
      </c>
      <c r="K1">
        <f>A1-$A$1</f>
        <v>0</v>
      </c>
      <c r="L1">
        <f>B1-$B$1</f>
        <v>0</v>
      </c>
      <c r="P1">
        <v>1.0017574692442881</v>
      </c>
      <c r="Q1">
        <v>9.4910189635217024E-2</v>
      </c>
      <c r="U1" t="s">
        <v>273</v>
      </c>
    </row>
    <row r="2" spans="1:21" x14ac:dyDescent="0.3">
      <c r="A2">
        <v>-1.7574692442882101E-3</v>
      </c>
      <c r="B2" s="1" t="s">
        <v>0</v>
      </c>
      <c r="K2">
        <f t="shared" ref="K2:K65" si="0">A2-$A$1</f>
        <v>0</v>
      </c>
      <c r="L2">
        <f t="shared" ref="L2:L65" si="1">B2-$B$1</f>
        <v>-3.5149634146349751E-3</v>
      </c>
      <c r="P2">
        <v>0.99648506151142324</v>
      </c>
      <c r="Q2">
        <v>9.3134175607612002E-2</v>
      </c>
    </row>
    <row r="3" spans="1:21" x14ac:dyDescent="0.3">
      <c r="A3">
        <v>-1.7574692442882101E-3</v>
      </c>
      <c r="B3" s="1" t="s">
        <v>1</v>
      </c>
      <c r="G3" t="s">
        <v>266</v>
      </c>
      <c r="J3" t="s">
        <v>267</v>
      </c>
      <c r="K3">
        <f t="shared" si="0"/>
        <v>0</v>
      </c>
      <c r="L3">
        <f t="shared" si="1"/>
        <v>-7.0299268292690065E-3</v>
      </c>
      <c r="P3">
        <v>0.98242530755711721</v>
      </c>
      <c r="Q3">
        <v>9.3084756086844023E-2</v>
      </c>
    </row>
    <row r="4" spans="1:21" x14ac:dyDescent="0.3">
      <c r="A4">
        <v>0</v>
      </c>
      <c r="B4" s="1" t="s">
        <v>2</v>
      </c>
      <c r="K4">
        <f t="shared" si="0"/>
        <v>1.7574692442882101E-3</v>
      </c>
      <c r="L4">
        <f t="shared" si="1"/>
        <v>-1.2296194511124015E-2</v>
      </c>
      <c r="N4" t="s">
        <v>270</v>
      </c>
      <c r="P4">
        <v>0.96836555360281118</v>
      </c>
      <c r="Q4">
        <v>9.1277854858759E-2</v>
      </c>
    </row>
    <row r="5" spans="1:21" x14ac:dyDescent="0.3">
      <c r="A5">
        <v>1.75746924428826E-3</v>
      </c>
      <c r="B5" s="1" t="s">
        <v>3</v>
      </c>
      <c r="F5" t="s">
        <v>268</v>
      </c>
      <c r="K5">
        <f t="shared" si="0"/>
        <v>3.5149384885764701E-3</v>
      </c>
      <c r="L5">
        <f t="shared" si="1"/>
        <v>-1.7562462192979023E-2</v>
      </c>
      <c r="N5" t="s">
        <v>271</v>
      </c>
      <c r="P5">
        <v>0.95254833040421716</v>
      </c>
      <c r="Q5">
        <v>8.7707294483260978E-2</v>
      </c>
    </row>
    <row r="6" spans="1:21" x14ac:dyDescent="0.3">
      <c r="A6">
        <v>5.2724077328647201E-3</v>
      </c>
      <c r="B6" s="1" t="s">
        <v>4</v>
      </c>
      <c r="F6" t="s">
        <v>269</v>
      </c>
      <c r="K6">
        <f t="shared" si="0"/>
        <v>7.0298769771529306E-3</v>
      </c>
      <c r="L6">
        <f t="shared" si="1"/>
        <v>-2.1065070727420976E-2</v>
      </c>
      <c r="N6" t="s">
        <v>272</v>
      </c>
      <c r="P6">
        <v>0.93321616871704727</v>
      </c>
      <c r="Q6">
        <v>8.412437922756999E-2</v>
      </c>
    </row>
    <row r="7" spans="1:21" x14ac:dyDescent="0.3">
      <c r="A7">
        <v>8.7873462214411394E-3</v>
      </c>
      <c r="B7" s="1" t="s">
        <v>5</v>
      </c>
      <c r="K7">
        <f t="shared" si="0"/>
        <v>1.054481546572935E-2</v>
      </c>
      <c r="L7">
        <f t="shared" si="1"/>
        <v>-2.4567679261862985E-2</v>
      </c>
      <c r="P7">
        <v>0.91564147627416426</v>
      </c>
      <c r="Q7">
        <v>8.2305123119293E-2</v>
      </c>
    </row>
    <row r="8" spans="1:21" x14ac:dyDescent="0.3">
      <c r="A8" s="1" t="s">
        <v>6</v>
      </c>
      <c r="B8" s="1" t="s">
        <v>7</v>
      </c>
      <c r="K8">
        <f t="shared" si="0"/>
        <v>1.5817223198594011E-2</v>
      </c>
      <c r="L8">
        <f t="shared" si="1"/>
        <v>-2.8064110356209981E-2</v>
      </c>
      <c r="P8">
        <v>0.89630931458699425</v>
      </c>
      <c r="Q8">
        <v>8.0479689570919999E-2</v>
      </c>
    </row>
    <row r="9" spans="1:21" x14ac:dyDescent="0.3">
      <c r="A9">
        <v>1.7574692442882199E-2</v>
      </c>
      <c r="B9" s="1" t="s">
        <v>8</v>
      </c>
      <c r="K9">
        <f t="shared" si="0"/>
        <v>1.9332161687170408E-2</v>
      </c>
      <c r="L9">
        <f t="shared" si="1"/>
        <v>-3.156671889065199E-2</v>
      </c>
      <c r="P9">
        <v>0.88224956063268822</v>
      </c>
      <c r="Q9">
        <v>7.8672788342834976E-2</v>
      </c>
    </row>
    <row r="10" spans="1:21" x14ac:dyDescent="0.3">
      <c r="A10" s="1" t="s">
        <v>9</v>
      </c>
      <c r="B10" s="1" t="s">
        <v>10</v>
      </c>
      <c r="K10">
        <f t="shared" si="0"/>
        <v>2.4604569420035107E-2</v>
      </c>
      <c r="L10">
        <f t="shared" si="1"/>
        <v>-3.5063149984997988E-2</v>
      </c>
      <c r="P10">
        <v>0.86818980667838319</v>
      </c>
      <c r="Q10">
        <v>7.686588711474901E-2</v>
      </c>
    </row>
    <row r="11" spans="1:21" x14ac:dyDescent="0.3">
      <c r="A11">
        <v>2.6362038664323299E-2</v>
      </c>
      <c r="B11" s="1" t="s">
        <v>11</v>
      </c>
      <c r="K11">
        <f t="shared" si="0"/>
        <v>2.8119507908611507E-2</v>
      </c>
      <c r="L11">
        <f t="shared" si="1"/>
        <v>-3.6808276812123009E-2</v>
      </c>
      <c r="P11">
        <v>0.85413005272407716</v>
      </c>
      <c r="Q11">
        <v>7.5058985886663987E-2</v>
      </c>
    </row>
    <row r="12" spans="1:21" x14ac:dyDescent="0.3">
      <c r="A12">
        <v>3.1634446397188001E-2</v>
      </c>
      <c r="B12" s="1" t="s">
        <v>12</v>
      </c>
      <c r="K12">
        <f t="shared" si="0"/>
        <v>3.3391915641476214E-2</v>
      </c>
      <c r="L12">
        <f t="shared" si="1"/>
        <v>-4.0304707906469006E-2</v>
      </c>
      <c r="P12">
        <v>0.84007029876977124</v>
      </c>
      <c r="Q12">
        <v>7.5009566365896008E-2</v>
      </c>
    </row>
    <row r="13" spans="1:21" x14ac:dyDescent="0.3">
      <c r="A13" s="1" t="s">
        <v>13</v>
      </c>
      <c r="B13" s="1" t="s">
        <v>14</v>
      </c>
      <c r="K13">
        <f t="shared" si="0"/>
        <v>4.0421792618629111E-2</v>
      </c>
      <c r="L13">
        <f t="shared" si="1"/>
        <v>-4.3794961560718992E-2</v>
      </c>
      <c r="P13">
        <v>0.82601054481546521</v>
      </c>
      <c r="Q13">
        <v>7.3202665137810985E-2</v>
      </c>
    </row>
    <row r="14" spans="1:21" x14ac:dyDescent="0.3">
      <c r="A14">
        <v>4.7451669595782002E-2</v>
      </c>
      <c r="B14" s="1" t="s">
        <v>15</v>
      </c>
      <c r="K14">
        <f t="shared" si="0"/>
        <v>4.9209138840070214E-2</v>
      </c>
      <c r="L14">
        <f t="shared" si="1"/>
        <v>-4.7279037774872995E-2</v>
      </c>
      <c r="P14">
        <v>0.81370826010544717</v>
      </c>
      <c r="Q14">
        <v>7.3159423057139017E-2</v>
      </c>
    </row>
    <row r="15" spans="1:21" x14ac:dyDescent="0.3">
      <c r="A15">
        <v>5.4481546572934997E-2</v>
      </c>
      <c r="B15" s="1" t="s">
        <v>16</v>
      </c>
      <c r="K15">
        <f t="shared" si="0"/>
        <v>5.6239015817223209E-2</v>
      </c>
      <c r="L15">
        <f t="shared" si="1"/>
        <v>-4.9011809721805993E-2</v>
      </c>
      <c r="P15">
        <v>0.80140597539543024</v>
      </c>
      <c r="Q15">
        <v>7.1358699269149006E-2</v>
      </c>
    </row>
    <row r="16" spans="1:21" x14ac:dyDescent="0.3">
      <c r="A16">
        <v>6.5026362038664298E-2</v>
      </c>
      <c r="B16" s="1" t="s">
        <v>17</v>
      </c>
      <c r="K16">
        <f t="shared" si="0"/>
        <v>6.678383128295251E-2</v>
      </c>
      <c r="L16">
        <f t="shared" si="1"/>
        <v>-5.2489708495864013E-2</v>
      </c>
      <c r="P16">
        <v>0.79086115992970119</v>
      </c>
      <c r="Q16">
        <v>7.1321634628572994E-2</v>
      </c>
    </row>
    <row r="17" spans="1:17" x14ac:dyDescent="0.3">
      <c r="A17">
        <v>7.55711775043936E-2</v>
      </c>
      <c r="B17" s="1" t="s">
        <v>18</v>
      </c>
      <c r="K17">
        <f t="shared" si="0"/>
        <v>7.7328646748681812E-2</v>
      </c>
      <c r="L17">
        <f t="shared" si="1"/>
        <v>-5.4210125562604988E-2</v>
      </c>
      <c r="P17">
        <v>0.77855887521968326</v>
      </c>
      <c r="Q17">
        <v>7.1278392547901026E-2</v>
      </c>
    </row>
    <row r="18" spans="1:17" x14ac:dyDescent="0.3">
      <c r="A18">
        <v>8.2601054481546504E-2</v>
      </c>
      <c r="B18" s="1" t="s">
        <v>19</v>
      </c>
      <c r="K18">
        <f t="shared" si="0"/>
        <v>8.4358523725834716E-2</v>
      </c>
      <c r="L18">
        <f t="shared" si="1"/>
        <v>-5.5942897509537987E-2</v>
      </c>
      <c r="P18">
        <v>0.76625659050966521</v>
      </c>
      <c r="Q18">
        <v>7.1235150467229003E-2</v>
      </c>
    </row>
    <row r="19" spans="1:17" x14ac:dyDescent="0.3">
      <c r="A19">
        <v>9.1388400702987704E-2</v>
      </c>
      <c r="B19" s="1" t="s">
        <v>20</v>
      </c>
      <c r="K19">
        <f t="shared" si="0"/>
        <v>9.3145869947275917E-2</v>
      </c>
      <c r="L19">
        <f t="shared" si="1"/>
        <v>-5.7669492016375001E-2</v>
      </c>
      <c r="P19">
        <v>0.75043936731107119</v>
      </c>
      <c r="Q19">
        <v>6.9422071799048024E-2</v>
      </c>
    </row>
    <row r="20" spans="1:17" x14ac:dyDescent="0.3">
      <c r="A20" s="1" t="s">
        <v>21</v>
      </c>
      <c r="B20" s="1" t="s">
        <v>22</v>
      </c>
      <c r="K20">
        <f t="shared" si="0"/>
        <v>0.10193321616871621</v>
      </c>
      <c r="L20">
        <f t="shared" si="1"/>
        <v>-5.9396086523211988E-2</v>
      </c>
      <c r="P20">
        <v>0.73462214411247717</v>
      </c>
      <c r="Q20">
        <v>6.9366474838183978E-2</v>
      </c>
    </row>
    <row r="21" spans="1:17" x14ac:dyDescent="0.3">
      <c r="A21" s="1" t="s">
        <v>23</v>
      </c>
      <c r="B21" s="1" t="s">
        <v>24</v>
      </c>
      <c r="K21">
        <f t="shared" si="0"/>
        <v>0.11072056239015721</v>
      </c>
      <c r="L21">
        <f t="shared" si="1"/>
        <v>-6.1122681030049003E-2</v>
      </c>
      <c r="P21">
        <v>0.71353251318101918</v>
      </c>
      <c r="Q21">
        <v>6.929234555703101E-2</v>
      </c>
    </row>
    <row r="22" spans="1:17" x14ac:dyDescent="0.3">
      <c r="A22" s="1" t="s">
        <v>25</v>
      </c>
      <c r="B22" s="1" t="s">
        <v>26</v>
      </c>
      <c r="K22">
        <f t="shared" si="0"/>
        <v>0.12126537785588722</v>
      </c>
      <c r="L22">
        <f t="shared" si="1"/>
        <v>-6.2843098096790007E-2</v>
      </c>
      <c r="P22">
        <v>0.69244288224956019</v>
      </c>
      <c r="Q22">
        <v>6.9218216275878985E-2</v>
      </c>
    </row>
    <row r="23" spans="1:17" x14ac:dyDescent="0.3">
      <c r="A23" s="1" t="s">
        <v>27</v>
      </c>
      <c r="B23" s="1" t="s">
        <v>28</v>
      </c>
      <c r="K23">
        <f t="shared" si="0"/>
        <v>0.13181019332161623</v>
      </c>
      <c r="L23">
        <f t="shared" si="1"/>
        <v>-6.2806033456213994E-2</v>
      </c>
      <c r="P23">
        <v>0.67662565905096617</v>
      </c>
      <c r="Q23">
        <v>6.9162619315014995E-2</v>
      </c>
    </row>
    <row r="24" spans="1:17" x14ac:dyDescent="0.3">
      <c r="A24" s="1" t="s">
        <v>29</v>
      </c>
      <c r="B24" s="1" t="s">
        <v>30</v>
      </c>
      <c r="K24">
        <f t="shared" si="0"/>
        <v>0.13884007029876921</v>
      </c>
      <c r="L24">
        <f t="shared" si="1"/>
        <v>-6.2781323695830005E-2</v>
      </c>
      <c r="P24">
        <v>0.65729349736379517</v>
      </c>
      <c r="Q24">
        <v>6.9094667473958982E-2</v>
      </c>
    </row>
    <row r="25" spans="1:17" x14ac:dyDescent="0.3">
      <c r="A25" s="1" t="s">
        <v>31</v>
      </c>
      <c r="B25" s="1" t="s">
        <v>32</v>
      </c>
      <c r="K25">
        <f t="shared" si="0"/>
        <v>0.14762741652021022</v>
      </c>
      <c r="L25">
        <f t="shared" si="1"/>
        <v>-6.2750436495350004E-2</v>
      </c>
      <c r="P25">
        <v>0.63268892794376019</v>
      </c>
      <c r="Q25">
        <v>7.0765665019931978E-2</v>
      </c>
    </row>
    <row r="26" spans="1:17" x14ac:dyDescent="0.3">
      <c r="A26" s="1" t="s">
        <v>33</v>
      </c>
      <c r="B26" s="1" t="s">
        <v>34</v>
      </c>
      <c r="K26">
        <f t="shared" si="0"/>
        <v>0.15817223198594021</v>
      </c>
      <c r="L26">
        <f t="shared" si="1"/>
        <v>-6.4470853562091007E-2</v>
      </c>
      <c r="P26">
        <v>0.62038664323374326</v>
      </c>
      <c r="Q26">
        <v>7.072242293926001E-2</v>
      </c>
    </row>
    <row r="27" spans="1:17" x14ac:dyDescent="0.3">
      <c r="A27" s="1" t="s">
        <v>35</v>
      </c>
      <c r="B27" s="1" t="s">
        <v>36</v>
      </c>
      <c r="K27">
        <f t="shared" si="0"/>
        <v>0.1704745166959572</v>
      </c>
      <c r="L27">
        <f t="shared" si="1"/>
        <v>-6.4427611481418012E-2</v>
      </c>
      <c r="P27">
        <v>0.60808435852372522</v>
      </c>
      <c r="Q27">
        <v>7.0679180858586987E-2</v>
      </c>
    </row>
    <row r="28" spans="1:17" x14ac:dyDescent="0.3">
      <c r="A28" s="1" t="s">
        <v>37</v>
      </c>
      <c r="B28" s="1" t="s">
        <v>38</v>
      </c>
      <c r="K28">
        <f t="shared" si="0"/>
        <v>0.18277680140597521</v>
      </c>
      <c r="L28">
        <f t="shared" si="1"/>
        <v>-6.4384369400745989E-2</v>
      </c>
      <c r="P28">
        <v>0.59402460456941919</v>
      </c>
      <c r="Q28">
        <v>7.0629761337819008E-2</v>
      </c>
    </row>
    <row r="29" spans="1:17" x14ac:dyDescent="0.3">
      <c r="A29" s="1" t="s">
        <v>39</v>
      </c>
      <c r="B29" s="1" t="s">
        <v>40</v>
      </c>
      <c r="K29">
        <f t="shared" si="0"/>
        <v>0.1950790861159922</v>
      </c>
      <c r="L29">
        <f t="shared" si="1"/>
        <v>-6.4341127320073993E-2</v>
      </c>
      <c r="P29">
        <v>0.57820738137082517</v>
      </c>
      <c r="Q29">
        <v>7.0574164376955018E-2</v>
      </c>
    </row>
    <row r="30" spans="1:17" x14ac:dyDescent="0.3">
      <c r="A30" s="1" t="s">
        <v>41</v>
      </c>
      <c r="B30" s="1" t="s">
        <v>42</v>
      </c>
      <c r="K30">
        <f t="shared" si="0"/>
        <v>0.2091388400702982</v>
      </c>
      <c r="L30">
        <f t="shared" si="1"/>
        <v>-6.6049189506623002E-2</v>
      </c>
      <c r="P30">
        <v>0.56239015817223126</v>
      </c>
      <c r="Q30">
        <v>7.0518567416091027E-2</v>
      </c>
    </row>
    <row r="31" spans="1:17" x14ac:dyDescent="0.3">
      <c r="A31" s="1" t="s">
        <v>43</v>
      </c>
      <c r="B31" s="1" t="s">
        <v>44</v>
      </c>
      <c r="K31">
        <f t="shared" si="0"/>
        <v>0.22671353251318022</v>
      </c>
      <c r="L31">
        <f t="shared" si="1"/>
        <v>-6.5987415105663E-2</v>
      </c>
      <c r="P31">
        <v>0.54481546572934925</v>
      </c>
      <c r="Q31">
        <v>7.2214274722448013E-2</v>
      </c>
    </row>
    <row r="32" spans="1:17" x14ac:dyDescent="0.3">
      <c r="A32" s="1" t="s">
        <v>45</v>
      </c>
      <c r="B32" s="1" t="s">
        <v>46</v>
      </c>
      <c r="K32">
        <f t="shared" si="0"/>
        <v>0.23725834797891021</v>
      </c>
      <c r="L32">
        <f t="shared" si="1"/>
        <v>-6.5950350465086988E-2</v>
      </c>
      <c r="P32">
        <v>0.52548330404217924</v>
      </c>
      <c r="Q32">
        <v>7.2146322881392E-2</v>
      </c>
    </row>
    <row r="33" spans="1:17" x14ac:dyDescent="0.3">
      <c r="A33" s="1" t="s">
        <v>47</v>
      </c>
      <c r="B33" s="1" t="s">
        <v>48</v>
      </c>
      <c r="K33">
        <f t="shared" si="0"/>
        <v>0.24956063268892723</v>
      </c>
      <c r="L33">
        <f t="shared" si="1"/>
        <v>-6.4149626677098004E-2</v>
      </c>
      <c r="P33">
        <v>0.50966608084358522</v>
      </c>
      <c r="Q33">
        <v>7.3848207627844997E-2</v>
      </c>
    </row>
    <row r="34" spans="1:17" x14ac:dyDescent="0.3">
      <c r="A34" s="1" t="s">
        <v>49</v>
      </c>
      <c r="B34" s="1" t="s">
        <v>50</v>
      </c>
      <c r="K34">
        <f t="shared" si="0"/>
        <v>0.26186291739894524</v>
      </c>
      <c r="L34">
        <f t="shared" si="1"/>
        <v>-6.4106384596426008E-2</v>
      </c>
      <c r="P34">
        <v>0.50087873462214316</v>
      </c>
      <c r="Q34">
        <v>7.3817320427364996E-2</v>
      </c>
    </row>
    <row r="35" spans="1:17" x14ac:dyDescent="0.3">
      <c r="A35" s="1" t="s">
        <v>51</v>
      </c>
      <c r="B35" s="1" t="s">
        <v>52</v>
      </c>
      <c r="K35">
        <f t="shared" si="0"/>
        <v>0.27416520210896222</v>
      </c>
      <c r="L35">
        <f t="shared" si="1"/>
        <v>-6.4063142515753013E-2</v>
      </c>
      <c r="P35">
        <v>0.48681898066783819</v>
      </c>
      <c r="Q35">
        <v>7.5525382613913006E-2</v>
      </c>
    </row>
    <row r="36" spans="1:17" x14ac:dyDescent="0.3">
      <c r="A36" s="1" t="s">
        <v>53</v>
      </c>
      <c r="B36" s="1" t="s">
        <v>54</v>
      </c>
      <c r="K36">
        <f t="shared" si="0"/>
        <v>0.28471001757469222</v>
      </c>
      <c r="L36">
        <f t="shared" si="1"/>
        <v>-6.4026077875177001E-2</v>
      </c>
      <c r="P36">
        <v>0.47275922671353221</v>
      </c>
      <c r="Q36">
        <v>7.5475963093145026E-2</v>
      </c>
    </row>
    <row r="37" spans="1:17" x14ac:dyDescent="0.3">
      <c r="A37" s="1" t="s">
        <v>55</v>
      </c>
      <c r="B37" s="1" t="s">
        <v>56</v>
      </c>
      <c r="K37">
        <f t="shared" si="0"/>
        <v>0.29349736379613323</v>
      </c>
      <c r="L37">
        <f t="shared" si="1"/>
        <v>-6.3995190674697E-2</v>
      </c>
      <c r="P37">
        <v>0.45694200351493819</v>
      </c>
      <c r="Q37">
        <v>7.542036613228098E-2</v>
      </c>
    </row>
    <row r="38" spans="1:17" x14ac:dyDescent="0.3">
      <c r="A38" s="1" t="s">
        <v>57</v>
      </c>
      <c r="B38" s="1" t="s">
        <v>58</v>
      </c>
      <c r="K38">
        <f t="shared" si="0"/>
        <v>0.30404217926186222</v>
      </c>
      <c r="L38">
        <f t="shared" si="1"/>
        <v>-6.2200644326804E-2</v>
      </c>
      <c r="P38">
        <v>0.4446397188049202</v>
      </c>
      <c r="Q38">
        <v>7.5377124051609012E-2</v>
      </c>
    </row>
    <row r="39" spans="1:17" x14ac:dyDescent="0.3">
      <c r="A39" s="1" t="s">
        <v>59</v>
      </c>
      <c r="B39" s="1" t="s">
        <v>60</v>
      </c>
      <c r="K39">
        <f t="shared" si="0"/>
        <v>0.31282952548330323</v>
      </c>
      <c r="L39">
        <f t="shared" si="1"/>
        <v>-6.2169757126323999E-2</v>
      </c>
      <c r="P39">
        <v>0.42882249560632624</v>
      </c>
      <c r="Q39">
        <v>7.707900879806201E-2</v>
      </c>
    </row>
    <row r="40" spans="1:17" x14ac:dyDescent="0.3">
      <c r="A40" s="1" t="s">
        <v>61</v>
      </c>
      <c r="B40" s="1" t="s">
        <v>62</v>
      </c>
      <c r="K40">
        <f t="shared" si="0"/>
        <v>0.3268892794376092</v>
      </c>
      <c r="L40">
        <f t="shared" si="1"/>
        <v>-6.0362855898239004E-2</v>
      </c>
      <c r="P40">
        <v>0.41300527240773222</v>
      </c>
      <c r="Q40">
        <v>7.7023411837198019E-2</v>
      </c>
    </row>
    <row r="41" spans="1:17" x14ac:dyDescent="0.3">
      <c r="A41">
        <v>0.33567662565905099</v>
      </c>
      <c r="B41" s="1" t="s">
        <v>63</v>
      </c>
      <c r="K41">
        <f t="shared" si="0"/>
        <v>0.3374340949033392</v>
      </c>
      <c r="L41">
        <f t="shared" si="1"/>
        <v>-5.8568309550346004E-2</v>
      </c>
      <c r="P41">
        <v>0.39718804920913819</v>
      </c>
      <c r="Q41">
        <v>7.6967814876333973E-2</v>
      </c>
    </row>
    <row r="42" spans="1:17" x14ac:dyDescent="0.3">
      <c r="A42" s="1" t="s">
        <v>64</v>
      </c>
      <c r="B42">
        <v>0.229701932530327</v>
      </c>
      <c r="K42">
        <f t="shared" si="0"/>
        <v>0.35149384885764423</v>
      </c>
      <c r="L42">
        <f t="shared" si="1"/>
        <v>-5.8518890029576998E-2</v>
      </c>
      <c r="P42">
        <v>0.38488576449912121</v>
      </c>
      <c r="Q42">
        <v>7.6924572795662005E-2</v>
      </c>
    </row>
    <row r="43" spans="1:17" x14ac:dyDescent="0.3">
      <c r="A43" s="1" t="s">
        <v>65</v>
      </c>
      <c r="B43" s="1" t="s">
        <v>66</v>
      </c>
      <c r="K43">
        <f t="shared" si="0"/>
        <v>0.36906854130052719</v>
      </c>
      <c r="L43">
        <f t="shared" si="1"/>
        <v>-5.6699633921300008E-2</v>
      </c>
      <c r="P43">
        <v>0.37434094903339121</v>
      </c>
      <c r="Q43">
        <v>7.6887508155084994E-2</v>
      </c>
    </row>
    <row r="44" spans="1:17" x14ac:dyDescent="0.3">
      <c r="A44" s="1" t="s">
        <v>67</v>
      </c>
      <c r="B44" s="1" t="s">
        <v>68</v>
      </c>
      <c r="K44">
        <f t="shared" si="0"/>
        <v>0.38488576449912121</v>
      </c>
      <c r="L44">
        <f t="shared" si="1"/>
        <v>-5.4886555253119002E-2</v>
      </c>
      <c r="P44">
        <v>0.36203866432337423</v>
      </c>
      <c r="Q44">
        <v>7.8601747781730014E-2</v>
      </c>
    </row>
    <row r="45" spans="1:17" x14ac:dyDescent="0.3">
      <c r="A45" s="1" t="s">
        <v>69</v>
      </c>
      <c r="B45" s="1" t="s">
        <v>70</v>
      </c>
      <c r="K45">
        <f t="shared" si="0"/>
        <v>0.40070298769771523</v>
      </c>
      <c r="L45">
        <f t="shared" si="1"/>
        <v>-5.3073476584937995E-2</v>
      </c>
      <c r="P45">
        <v>0.34973637961335619</v>
      </c>
      <c r="Q45">
        <v>7.855850570105799E-2</v>
      </c>
    </row>
    <row r="46" spans="1:17" x14ac:dyDescent="0.3">
      <c r="A46" s="1" t="s">
        <v>71</v>
      </c>
      <c r="B46" s="1" t="s">
        <v>72</v>
      </c>
      <c r="K46">
        <f t="shared" si="0"/>
        <v>0.41124780316344423</v>
      </c>
      <c r="L46">
        <f t="shared" si="1"/>
        <v>-5.1278930237044995E-2</v>
      </c>
      <c r="P46">
        <v>0.33919156414762719</v>
      </c>
      <c r="Q46">
        <v>7.8521441060481978E-2</v>
      </c>
    </row>
    <row r="47" spans="1:17" x14ac:dyDescent="0.3">
      <c r="A47" s="1" t="s">
        <v>73</v>
      </c>
      <c r="B47" s="1" t="s">
        <v>74</v>
      </c>
      <c r="K47">
        <f t="shared" si="0"/>
        <v>0.42706502636203819</v>
      </c>
      <c r="L47">
        <f t="shared" si="1"/>
        <v>-4.946585156886299E-2</v>
      </c>
      <c r="P47">
        <v>0.33040421792618624</v>
      </c>
      <c r="Q47">
        <v>7.8490553860001977E-2</v>
      </c>
    </row>
    <row r="48" spans="1:17" x14ac:dyDescent="0.3">
      <c r="A48" s="1" t="s">
        <v>75</v>
      </c>
      <c r="B48" s="1" t="s">
        <v>76</v>
      </c>
      <c r="K48">
        <f t="shared" si="0"/>
        <v>0.44112478031634422</v>
      </c>
      <c r="L48">
        <f t="shared" si="1"/>
        <v>-4.7658950340777995E-2</v>
      </c>
      <c r="P48">
        <v>0.31985940246045619</v>
      </c>
      <c r="Q48">
        <v>7.845348921942602E-2</v>
      </c>
    </row>
    <row r="49" spans="1:17" x14ac:dyDescent="0.3">
      <c r="A49" s="1" t="s">
        <v>77</v>
      </c>
      <c r="B49" s="1" t="s">
        <v>78</v>
      </c>
      <c r="K49">
        <f t="shared" si="0"/>
        <v>0.45694200351493819</v>
      </c>
      <c r="L49">
        <f t="shared" si="1"/>
        <v>-4.408838996528E-2</v>
      </c>
      <c r="P49">
        <v>0.30228471001757423</v>
      </c>
      <c r="Q49">
        <v>7.8391714818466018E-2</v>
      </c>
    </row>
    <row r="50" spans="1:17" x14ac:dyDescent="0.3">
      <c r="A50" s="1" t="s">
        <v>79</v>
      </c>
      <c r="B50" s="1" t="s">
        <v>80</v>
      </c>
      <c r="K50">
        <f t="shared" si="0"/>
        <v>0.4745166959578202</v>
      </c>
      <c r="L50">
        <f t="shared" si="1"/>
        <v>-4.2269133857003011E-2</v>
      </c>
      <c r="P50">
        <v>0.28471001757469222</v>
      </c>
      <c r="Q50">
        <v>7.8329940417506017E-2</v>
      </c>
    </row>
    <row r="51" spans="1:17" x14ac:dyDescent="0.3">
      <c r="A51">
        <v>0.49209138840070299</v>
      </c>
      <c r="B51" s="1" t="s">
        <v>81</v>
      </c>
      <c r="K51">
        <f t="shared" si="0"/>
        <v>0.4938488576449912</v>
      </c>
      <c r="L51">
        <f t="shared" si="1"/>
        <v>-3.8686218601311995E-2</v>
      </c>
      <c r="P51">
        <v>0.27065026362038619</v>
      </c>
      <c r="Q51">
        <v>7.6523039189419995E-2</v>
      </c>
    </row>
    <row r="52" spans="1:17" x14ac:dyDescent="0.3">
      <c r="A52" s="1" t="s">
        <v>82</v>
      </c>
      <c r="B52" s="1" t="s">
        <v>83</v>
      </c>
      <c r="K52">
        <f t="shared" si="0"/>
        <v>0.51142355008787321</v>
      </c>
      <c r="L52">
        <f t="shared" si="1"/>
        <v>-3.5109480785718017E-2</v>
      </c>
      <c r="P52">
        <v>0.25659050966608021</v>
      </c>
      <c r="Q52">
        <v>7.6473619668652015E-2</v>
      </c>
    </row>
    <row r="53" spans="1:17" x14ac:dyDescent="0.3">
      <c r="A53" s="1" t="s">
        <v>84</v>
      </c>
      <c r="B53" s="1" t="s">
        <v>85</v>
      </c>
      <c r="K53">
        <f t="shared" si="0"/>
        <v>0.52724077328646723</v>
      </c>
      <c r="L53">
        <f t="shared" si="1"/>
        <v>-3.3296402117536983E-2</v>
      </c>
      <c r="P53">
        <v>0.24253075571177421</v>
      </c>
      <c r="Q53">
        <v>7.6424200147883981E-2</v>
      </c>
    </row>
    <row r="54" spans="1:17" x14ac:dyDescent="0.3">
      <c r="A54">
        <v>0.53954305799648505</v>
      </c>
      <c r="B54">
        <v>0.25673132167045298</v>
      </c>
      <c r="K54">
        <f t="shared" si="0"/>
        <v>0.54130052724077327</v>
      </c>
      <c r="L54">
        <f t="shared" si="1"/>
        <v>-3.1489500889451016E-2</v>
      </c>
      <c r="P54">
        <v>0.23022847100175722</v>
      </c>
      <c r="Q54">
        <v>7.4623476359895025E-2</v>
      </c>
    </row>
    <row r="55" spans="1:17" x14ac:dyDescent="0.3">
      <c r="A55" s="1" t="s">
        <v>86</v>
      </c>
      <c r="B55" s="1" t="s">
        <v>87</v>
      </c>
      <c r="K55">
        <f t="shared" si="0"/>
        <v>0.55887521968365517</v>
      </c>
      <c r="L55">
        <f t="shared" si="1"/>
        <v>-2.7912763073856983E-2</v>
      </c>
      <c r="P55">
        <v>0.21089630931458622</v>
      </c>
      <c r="Q55">
        <v>7.4555524518839011E-2</v>
      </c>
    </row>
    <row r="56" spans="1:17" x14ac:dyDescent="0.3">
      <c r="A56" s="1" t="s">
        <v>88</v>
      </c>
      <c r="B56" s="1" t="s">
        <v>89</v>
      </c>
      <c r="K56">
        <f t="shared" si="0"/>
        <v>0.57469244288224919</v>
      </c>
      <c r="L56">
        <f t="shared" si="1"/>
        <v>-2.4342202698359017E-2</v>
      </c>
      <c r="P56">
        <v>0.19683655536028122</v>
      </c>
      <c r="Q56">
        <v>7.274862329075299E-2</v>
      </c>
    </row>
    <row r="57" spans="1:17" x14ac:dyDescent="0.3">
      <c r="A57" s="1" t="s">
        <v>90</v>
      </c>
      <c r="B57">
        <v>0.267449180237044</v>
      </c>
      <c r="K57">
        <f t="shared" si="0"/>
        <v>0.59050966608084321</v>
      </c>
      <c r="L57">
        <f t="shared" si="1"/>
        <v>-2.0771642322859996E-2</v>
      </c>
      <c r="P57">
        <v>0.17926186291739821</v>
      </c>
      <c r="Q57">
        <v>7.0929367182476E-2</v>
      </c>
    </row>
    <row r="58" spans="1:17" x14ac:dyDescent="0.3">
      <c r="A58" s="1" t="s">
        <v>91</v>
      </c>
      <c r="B58" s="1" t="s">
        <v>92</v>
      </c>
      <c r="K58">
        <f t="shared" si="0"/>
        <v>0.60808435852372522</v>
      </c>
      <c r="L58">
        <f t="shared" si="1"/>
        <v>-1.8952386214583006E-2</v>
      </c>
      <c r="P58">
        <v>0.1652021089630922</v>
      </c>
      <c r="Q58">
        <v>6.9122465954390977E-2</v>
      </c>
    </row>
    <row r="59" spans="1:17" x14ac:dyDescent="0.3">
      <c r="A59" s="1" t="s">
        <v>93</v>
      </c>
      <c r="B59" s="1" t="s">
        <v>94</v>
      </c>
      <c r="K59">
        <f t="shared" si="0"/>
        <v>0.62214411247803125</v>
      </c>
      <c r="L59">
        <f t="shared" si="1"/>
        <v>-1.5388003279180995E-2</v>
      </c>
      <c r="P59">
        <v>0.1511423550087872</v>
      </c>
      <c r="Q59">
        <v>6.731556472630601E-2</v>
      </c>
    </row>
    <row r="60" spans="1:17" x14ac:dyDescent="0.3">
      <c r="A60" s="1" t="s">
        <v>95</v>
      </c>
      <c r="B60" s="1" t="s">
        <v>96</v>
      </c>
      <c r="K60">
        <f t="shared" si="0"/>
        <v>0.63796133567662516</v>
      </c>
      <c r="L60">
        <f t="shared" si="1"/>
        <v>-1.1817442903682973E-2</v>
      </c>
      <c r="P60">
        <v>0.13708260105448122</v>
      </c>
      <c r="Q60">
        <v>6.5508663498220987E-2</v>
      </c>
    </row>
    <row r="61" spans="1:17" x14ac:dyDescent="0.3">
      <c r="A61">
        <v>0.64850615114235499</v>
      </c>
      <c r="B61">
        <v>0.27820410344421098</v>
      </c>
      <c r="K61">
        <f t="shared" si="0"/>
        <v>0.6502636203866432</v>
      </c>
      <c r="L61">
        <f t="shared" si="1"/>
        <v>-1.0016719115693018E-2</v>
      </c>
      <c r="P61">
        <v>0.12126537785588722</v>
      </c>
      <c r="Q61">
        <v>6.3695584830039009E-2</v>
      </c>
    </row>
    <row r="62" spans="1:17" x14ac:dyDescent="0.3">
      <c r="A62" s="1" t="s">
        <v>97</v>
      </c>
      <c r="B62" s="1" t="s">
        <v>98</v>
      </c>
      <c r="K62">
        <f t="shared" si="0"/>
        <v>0.66256590509666025</v>
      </c>
      <c r="L62">
        <f t="shared" si="1"/>
        <v>-8.2159953277040065E-3</v>
      </c>
      <c r="P62">
        <v>0.10720562390158121</v>
      </c>
      <c r="Q62">
        <v>6.0131201894636999E-2</v>
      </c>
    </row>
    <row r="63" spans="1:17" x14ac:dyDescent="0.3">
      <c r="A63" s="1" t="s">
        <v>99</v>
      </c>
      <c r="B63" s="1" t="s">
        <v>100</v>
      </c>
      <c r="K63">
        <f t="shared" si="0"/>
        <v>0.68189806678383125</v>
      </c>
      <c r="L63">
        <f t="shared" si="1"/>
        <v>-2.8755983646969741E-3</v>
      </c>
      <c r="P63">
        <v>9.4903339191564115E-2</v>
      </c>
      <c r="Q63">
        <v>5.8330478106647987E-2</v>
      </c>
    </row>
    <row r="64" spans="1:17" x14ac:dyDescent="0.3">
      <c r="A64" s="1" t="s">
        <v>101</v>
      </c>
      <c r="B64">
        <v>0.288921962010802</v>
      </c>
      <c r="K64">
        <f t="shared" si="0"/>
        <v>0.69947275922671326</v>
      </c>
      <c r="L64">
        <f t="shared" si="1"/>
        <v>7.0113945089800289E-4</v>
      </c>
      <c r="P64">
        <v>8.4358523725834716E-2</v>
      </c>
      <c r="Q64">
        <v>5.4778450051437999E-2</v>
      </c>
    </row>
    <row r="65" spans="1:17" x14ac:dyDescent="0.3">
      <c r="A65" s="1" t="s">
        <v>102</v>
      </c>
      <c r="B65" s="1" t="s">
        <v>103</v>
      </c>
      <c r="K65">
        <f t="shared" si="0"/>
        <v>0.71177504393673019</v>
      </c>
      <c r="L65">
        <f t="shared" si="1"/>
        <v>2.5018632388870143E-3</v>
      </c>
      <c r="P65">
        <v>7.3813708260105415E-2</v>
      </c>
      <c r="Q65">
        <v>5.1226421996227012E-2</v>
      </c>
    </row>
    <row r="66" spans="1:17" x14ac:dyDescent="0.3">
      <c r="A66">
        <v>0.71880492091388404</v>
      </c>
      <c r="B66" s="1" t="s">
        <v>104</v>
      </c>
      <c r="K66">
        <f t="shared" ref="K66:K129" si="2">A66-$A$1</f>
        <v>0.72056239015817225</v>
      </c>
      <c r="L66">
        <f t="shared" ref="L66:L129" si="3">B66-$B$1</f>
        <v>6.0477138540009912E-3</v>
      </c>
      <c r="P66">
        <v>6.1511423550087811E-2</v>
      </c>
      <c r="Q66">
        <v>4.7668216500921012E-2</v>
      </c>
    </row>
    <row r="67" spans="1:17" x14ac:dyDescent="0.3">
      <c r="A67" s="1" t="s">
        <v>105</v>
      </c>
      <c r="B67" s="1" t="s">
        <v>106</v>
      </c>
      <c r="K67">
        <f t="shared" si="2"/>
        <v>0.73637961335676616</v>
      </c>
      <c r="L67">
        <f t="shared" si="3"/>
        <v>9.6182742294990131E-3</v>
      </c>
      <c r="P67">
        <v>5.096660808435851E-2</v>
      </c>
      <c r="Q67">
        <v>4.4116188445711024E-2</v>
      </c>
    </row>
    <row r="68" spans="1:17" x14ac:dyDescent="0.3">
      <c r="A68" s="1" t="s">
        <v>107</v>
      </c>
      <c r="B68" s="1" t="s">
        <v>108</v>
      </c>
      <c r="K68">
        <f t="shared" si="2"/>
        <v>0.74692442882249521</v>
      </c>
      <c r="L68">
        <f t="shared" si="3"/>
        <v>1.1412820577392013E-2</v>
      </c>
      <c r="P68">
        <v>3.8664323374340913E-2</v>
      </c>
      <c r="Q68">
        <v>3.8800501243087981E-2</v>
      </c>
    </row>
    <row r="69" spans="1:17" x14ac:dyDescent="0.3">
      <c r="A69" s="1" t="s">
        <v>109</v>
      </c>
      <c r="B69" s="1" t="s">
        <v>110</v>
      </c>
      <c r="K69">
        <f t="shared" si="2"/>
        <v>0.75922671353251225</v>
      </c>
      <c r="L69">
        <f t="shared" si="3"/>
        <v>1.4971026072699012E-2</v>
      </c>
      <c r="P69">
        <v>2.6362038664323309E-2</v>
      </c>
      <c r="Q69">
        <v>3.1727332333147007E-2</v>
      </c>
    </row>
    <row r="70" spans="1:17" x14ac:dyDescent="0.3">
      <c r="A70" s="1" t="s">
        <v>111</v>
      </c>
      <c r="B70" s="1" t="s">
        <v>112</v>
      </c>
      <c r="K70">
        <f t="shared" si="2"/>
        <v>0.77680140597539526</v>
      </c>
      <c r="L70">
        <f t="shared" si="3"/>
        <v>2.0305245595609978E-2</v>
      </c>
      <c r="P70">
        <v>1.9332161687170408E-2</v>
      </c>
      <c r="Q70">
        <v>2.6430177450811998E-2</v>
      </c>
    </row>
    <row r="71" spans="1:17" x14ac:dyDescent="0.3">
      <c r="A71">
        <v>0.78910369068541297</v>
      </c>
      <c r="B71" s="1" t="s">
        <v>113</v>
      </c>
      <c r="K71">
        <f t="shared" si="2"/>
        <v>0.79086115992970119</v>
      </c>
      <c r="L71">
        <f t="shared" si="3"/>
        <v>2.3869628531011988E-2</v>
      </c>
      <c r="P71">
        <v>1.405975395430571E-2</v>
      </c>
      <c r="Q71">
        <v>2.2896681715889988E-2</v>
      </c>
    </row>
    <row r="72" spans="1:17" x14ac:dyDescent="0.3">
      <c r="A72" s="1" t="s">
        <v>114</v>
      </c>
      <c r="B72" s="1" t="s">
        <v>115</v>
      </c>
      <c r="K72">
        <f t="shared" si="2"/>
        <v>0.80140597539543024</v>
      </c>
      <c r="L72">
        <f t="shared" si="3"/>
        <v>2.7421656586222976E-2</v>
      </c>
      <c r="P72">
        <v>1.054481546572935E-2</v>
      </c>
      <c r="Q72">
        <v>1.9369363421062991E-2</v>
      </c>
    </row>
    <row r="73" spans="1:17" x14ac:dyDescent="0.3">
      <c r="A73" s="1" t="s">
        <v>116</v>
      </c>
      <c r="B73" s="1" t="s">
        <v>117</v>
      </c>
      <c r="K73">
        <f t="shared" si="2"/>
        <v>0.81722319859402426</v>
      </c>
      <c r="L73">
        <f t="shared" si="3"/>
        <v>3.0992216961720997E-2</v>
      </c>
      <c r="P73">
        <v>7.0298769771529306E-3</v>
      </c>
      <c r="Q73">
        <v>1.5842045126236992E-2</v>
      </c>
    </row>
    <row r="74" spans="1:17" x14ac:dyDescent="0.3">
      <c r="A74" s="1" t="s">
        <v>118</v>
      </c>
      <c r="B74" s="1" t="s">
        <v>119</v>
      </c>
      <c r="K74">
        <f t="shared" si="2"/>
        <v>0.83304042179261817</v>
      </c>
      <c r="L74">
        <f t="shared" si="3"/>
        <v>3.6320259044536007E-2</v>
      </c>
      <c r="P74">
        <v>3.5149384885764701E-3</v>
      </c>
      <c r="Q74">
        <v>1.0557245124094006E-2</v>
      </c>
    </row>
    <row r="75" spans="1:17" x14ac:dyDescent="0.3">
      <c r="A75" s="1" t="s">
        <v>120</v>
      </c>
      <c r="B75" s="1" t="s">
        <v>121</v>
      </c>
      <c r="K75">
        <f t="shared" si="2"/>
        <v>0.84885764499121219</v>
      </c>
      <c r="L75">
        <f t="shared" si="3"/>
        <v>4.1648301127352017E-2</v>
      </c>
      <c r="P75">
        <v>1.7574692442882101E-3</v>
      </c>
      <c r="Q75">
        <v>5.2786225620469751E-3</v>
      </c>
    </row>
    <row r="76" spans="1:17" x14ac:dyDescent="0.3">
      <c r="A76" s="1" t="s">
        <v>122</v>
      </c>
      <c r="B76" s="1" t="s">
        <v>123</v>
      </c>
      <c r="K76">
        <f t="shared" si="2"/>
        <v>0.86467486818980621</v>
      </c>
      <c r="L76">
        <f t="shared" si="3"/>
        <v>4.5218861502849983E-2</v>
      </c>
      <c r="P76">
        <v>0</v>
      </c>
      <c r="Q76">
        <v>0</v>
      </c>
    </row>
    <row r="77" spans="1:17" x14ac:dyDescent="0.3">
      <c r="A77" s="1" t="s">
        <v>124</v>
      </c>
      <c r="B77" s="1" t="s">
        <v>125</v>
      </c>
      <c r="K77">
        <f t="shared" si="2"/>
        <v>0.88049209138840023</v>
      </c>
      <c r="L77">
        <f t="shared" si="3"/>
        <v>5.0546903585664993E-2</v>
      </c>
      <c r="P77">
        <v>0</v>
      </c>
      <c r="Q77">
        <v>-3.5149634146349751E-3</v>
      </c>
    </row>
    <row r="78" spans="1:17" x14ac:dyDescent="0.3">
      <c r="A78" s="1" t="s">
        <v>126</v>
      </c>
      <c r="B78" s="1" t="s">
        <v>127</v>
      </c>
      <c r="K78">
        <f t="shared" si="2"/>
        <v>0.89806678383128224</v>
      </c>
      <c r="L78">
        <f t="shared" si="3"/>
        <v>5.4123641401260025E-2</v>
      </c>
      <c r="P78">
        <v>0</v>
      </c>
      <c r="Q78">
        <v>-7.0299268292690065E-3</v>
      </c>
    </row>
    <row r="79" spans="1:17" x14ac:dyDescent="0.3">
      <c r="A79" s="1" t="s">
        <v>128</v>
      </c>
      <c r="B79" s="1" t="s">
        <v>129</v>
      </c>
      <c r="K79">
        <f t="shared" si="2"/>
        <v>0.91564147627416426</v>
      </c>
      <c r="L79">
        <f t="shared" si="3"/>
        <v>5.9457860924170991E-2</v>
      </c>
      <c r="P79">
        <v>1.7574692442882101E-3</v>
      </c>
      <c r="Q79">
        <v>-1.2296194511124015E-2</v>
      </c>
    </row>
    <row r="80" spans="1:17" x14ac:dyDescent="0.3">
      <c r="A80">
        <v>0.92267135325131799</v>
      </c>
      <c r="B80" s="1" t="s">
        <v>130</v>
      </c>
      <c r="K80">
        <f t="shared" si="2"/>
        <v>0.92442882249560621</v>
      </c>
      <c r="L80">
        <f t="shared" si="3"/>
        <v>6.3003711539285023E-2</v>
      </c>
      <c r="P80">
        <v>3.5149384885764701E-3</v>
      </c>
      <c r="Q80">
        <v>-1.7562462192979023E-2</v>
      </c>
    </row>
    <row r="81" spans="1:17" x14ac:dyDescent="0.3">
      <c r="A81" s="1" t="s">
        <v>131</v>
      </c>
      <c r="B81" s="1" t="s">
        <v>132</v>
      </c>
      <c r="K81">
        <f t="shared" si="2"/>
        <v>0.93673110720562325</v>
      </c>
      <c r="L81">
        <f t="shared" si="3"/>
        <v>6.6561917034592022E-2</v>
      </c>
      <c r="P81">
        <v>7.0298769771529306E-3</v>
      </c>
      <c r="Q81">
        <v>-2.1065070727420976E-2</v>
      </c>
    </row>
    <row r="82" spans="1:17" x14ac:dyDescent="0.3">
      <c r="A82" s="1" t="s">
        <v>133</v>
      </c>
      <c r="B82" s="1" t="s">
        <v>134</v>
      </c>
      <c r="K82">
        <f t="shared" si="2"/>
        <v>0.95254833040421716</v>
      </c>
      <c r="L82">
        <f t="shared" si="3"/>
        <v>7.1889959117406976E-2</v>
      </c>
      <c r="P82">
        <v>1.054481546572935E-2</v>
      </c>
      <c r="Q82">
        <v>-2.4567679261862985E-2</v>
      </c>
    </row>
    <row r="83" spans="1:17" x14ac:dyDescent="0.3">
      <c r="A83">
        <v>0.96836555360281196</v>
      </c>
      <c r="B83" s="1" t="s">
        <v>135</v>
      </c>
      <c r="K83">
        <f t="shared" si="2"/>
        <v>0.97012302284710017</v>
      </c>
      <c r="L83">
        <f t="shared" si="3"/>
        <v>7.7224178640317998E-2</v>
      </c>
      <c r="P83">
        <v>1.5817223198594011E-2</v>
      </c>
      <c r="Q83">
        <v>-2.8064110356209981E-2</v>
      </c>
    </row>
    <row r="84" spans="1:17" x14ac:dyDescent="0.3">
      <c r="A84" s="1" t="s">
        <v>136</v>
      </c>
      <c r="B84" s="1" t="s">
        <v>137</v>
      </c>
      <c r="K84">
        <f t="shared" si="2"/>
        <v>0.9841827768014052</v>
      </c>
      <c r="L84">
        <f t="shared" si="3"/>
        <v>8.2546043283037995E-2</v>
      </c>
      <c r="P84">
        <v>1.9332161687170408E-2</v>
      </c>
      <c r="Q84">
        <v>-3.156671889065199E-2</v>
      </c>
    </row>
    <row r="85" spans="1:17" x14ac:dyDescent="0.3">
      <c r="A85" s="1" t="s">
        <v>138</v>
      </c>
      <c r="B85" s="1" t="s">
        <v>139</v>
      </c>
      <c r="K85">
        <f t="shared" si="2"/>
        <v>0.99824253075571123</v>
      </c>
      <c r="L85">
        <f t="shared" si="3"/>
        <v>8.6110426218440006E-2</v>
      </c>
      <c r="P85">
        <v>2.4604569420035107E-2</v>
      </c>
      <c r="Q85">
        <v>-3.5063149984997988E-2</v>
      </c>
    </row>
    <row r="86" spans="1:17" x14ac:dyDescent="0.3">
      <c r="A86" s="1" t="s">
        <v>140</v>
      </c>
      <c r="B86" s="1" t="s">
        <v>141</v>
      </c>
      <c r="K86">
        <f t="shared" si="2"/>
        <v>1.0052724077328581</v>
      </c>
      <c r="L86">
        <f t="shared" si="3"/>
        <v>8.7892617686140984E-2</v>
      </c>
      <c r="P86">
        <v>2.8119507908611507E-2</v>
      </c>
      <c r="Q86">
        <v>-3.6808276812123009E-2</v>
      </c>
    </row>
    <row r="87" spans="1:17" x14ac:dyDescent="0.3">
      <c r="A87">
        <v>1</v>
      </c>
      <c r="B87" s="1" t="s">
        <v>142</v>
      </c>
      <c r="K87">
        <f t="shared" si="2"/>
        <v>1.0017574692442881</v>
      </c>
      <c r="L87">
        <f t="shared" si="3"/>
        <v>9.4910189635217024E-2</v>
      </c>
      <c r="P87">
        <v>3.3391915641476214E-2</v>
      </c>
      <c r="Q87">
        <v>-4.0304707906469006E-2</v>
      </c>
    </row>
    <row r="88" spans="1:17" x14ac:dyDescent="0.3">
      <c r="A88" s="1" t="s">
        <v>143</v>
      </c>
      <c r="B88" s="1" t="s">
        <v>144</v>
      </c>
      <c r="K88">
        <f t="shared" si="2"/>
        <v>0.99648506151142324</v>
      </c>
      <c r="L88">
        <f t="shared" si="3"/>
        <v>9.3134175607612002E-2</v>
      </c>
      <c r="P88">
        <v>4.0421792618629111E-2</v>
      </c>
      <c r="Q88">
        <v>-4.3794961560718992E-2</v>
      </c>
    </row>
    <row r="89" spans="1:17" x14ac:dyDescent="0.3">
      <c r="A89" s="1" t="s">
        <v>145</v>
      </c>
      <c r="B89" s="1" t="s">
        <v>146</v>
      </c>
      <c r="K89">
        <f t="shared" si="2"/>
        <v>0.98242530755711721</v>
      </c>
      <c r="L89">
        <f t="shared" si="3"/>
        <v>9.3084756086844023E-2</v>
      </c>
      <c r="P89">
        <v>4.9209138840070214E-2</v>
      </c>
      <c r="Q89">
        <v>-4.7279037774872995E-2</v>
      </c>
    </row>
    <row r="90" spans="1:17" x14ac:dyDescent="0.3">
      <c r="A90" s="1" t="s">
        <v>147</v>
      </c>
      <c r="B90" s="1" t="s">
        <v>148</v>
      </c>
      <c r="K90">
        <f t="shared" si="2"/>
        <v>0.96836555360281118</v>
      </c>
      <c r="L90">
        <f t="shared" si="3"/>
        <v>9.1277854858759E-2</v>
      </c>
      <c r="P90">
        <v>5.6239015817223209E-2</v>
      </c>
      <c r="Q90">
        <v>-4.9011809721805993E-2</v>
      </c>
    </row>
    <row r="91" spans="1:17" x14ac:dyDescent="0.3">
      <c r="A91" s="1" t="s">
        <v>133</v>
      </c>
      <c r="B91" s="1" t="s">
        <v>149</v>
      </c>
      <c r="K91">
        <f t="shared" si="2"/>
        <v>0.95254833040421716</v>
      </c>
      <c r="L91">
        <f t="shared" si="3"/>
        <v>8.7707294483260978E-2</v>
      </c>
      <c r="P91">
        <v>6.678383128295251E-2</v>
      </c>
      <c r="Q91">
        <v>-5.2489708495864013E-2</v>
      </c>
    </row>
    <row r="92" spans="1:17" x14ac:dyDescent="0.3">
      <c r="A92" s="1" t="s">
        <v>150</v>
      </c>
      <c r="B92" s="1" t="s">
        <v>151</v>
      </c>
      <c r="K92">
        <f t="shared" si="2"/>
        <v>0.93321616871704727</v>
      </c>
      <c r="L92">
        <f t="shared" si="3"/>
        <v>8.412437922756999E-2</v>
      </c>
      <c r="P92">
        <v>7.7328646748681812E-2</v>
      </c>
      <c r="Q92">
        <v>-5.4210125562604988E-2</v>
      </c>
    </row>
    <row r="93" spans="1:17" x14ac:dyDescent="0.3">
      <c r="A93" s="1" t="s">
        <v>128</v>
      </c>
      <c r="B93" s="1" t="s">
        <v>152</v>
      </c>
      <c r="K93">
        <f t="shared" si="2"/>
        <v>0.91564147627416426</v>
      </c>
      <c r="L93">
        <f t="shared" si="3"/>
        <v>8.2305123119293E-2</v>
      </c>
      <c r="P93">
        <v>8.4358523725834716E-2</v>
      </c>
      <c r="Q93">
        <v>-5.5942897509537987E-2</v>
      </c>
    </row>
    <row r="94" spans="1:17" x14ac:dyDescent="0.3">
      <c r="A94" s="1" t="s">
        <v>153</v>
      </c>
      <c r="B94" s="1" t="s">
        <v>154</v>
      </c>
      <c r="K94">
        <f t="shared" si="2"/>
        <v>0.89630931458699425</v>
      </c>
      <c r="L94">
        <f t="shared" si="3"/>
        <v>8.0479689570919999E-2</v>
      </c>
      <c r="P94">
        <v>9.3145869947275917E-2</v>
      </c>
      <c r="Q94">
        <v>-5.7669492016375001E-2</v>
      </c>
    </row>
    <row r="95" spans="1:17" x14ac:dyDescent="0.3">
      <c r="A95" s="1" t="s">
        <v>155</v>
      </c>
      <c r="B95" s="1" t="s">
        <v>156</v>
      </c>
      <c r="K95">
        <f t="shared" si="2"/>
        <v>0.88224956063268822</v>
      </c>
      <c r="L95">
        <f t="shared" si="3"/>
        <v>7.8672788342834976E-2</v>
      </c>
      <c r="P95">
        <v>0.10193321616871621</v>
      </c>
      <c r="Q95">
        <v>-5.9396086523211988E-2</v>
      </c>
    </row>
    <row r="96" spans="1:17" x14ac:dyDescent="0.3">
      <c r="A96">
        <v>0.86643233743409498</v>
      </c>
      <c r="B96" s="1" t="s">
        <v>157</v>
      </c>
      <c r="K96">
        <f t="shared" si="2"/>
        <v>0.86818980667838319</v>
      </c>
      <c r="L96">
        <f t="shared" si="3"/>
        <v>7.686588711474901E-2</v>
      </c>
      <c r="P96">
        <v>0.11072056239015721</v>
      </c>
      <c r="Q96">
        <v>-6.1122681030049003E-2</v>
      </c>
    </row>
    <row r="97" spans="1:17" x14ac:dyDescent="0.3">
      <c r="A97" s="1" t="s">
        <v>158</v>
      </c>
      <c r="B97" s="1" t="s">
        <v>159</v>
      </c>
      <c r="K97">
        <f t="shared" si="2"/>
        <v>0.85413005272407716</v>
      </c>
      <c r="L97">
        <f t="shared" si="3"/>
        <v>7.5058985886663987E-2</v>
      </c>
      <c r="P97">
        <v>0.12126537785588722</v>
      </c>
      <c r="Q97">
        <v>-6.2843098096790007E-2</v>
      </c>
    </row>
    <row r="98" spans="1:17" x14ac:dyDescent="0.3">
      <c r="A98" s="1" t="s">
        <v>160</v>
      </c>
      <c r="B98" s="1" t="s">
        <v>161</v>
      </c>
      <c r="K98">
        <f t="shared" si="2"/>
        <v>0.84007029876977124</v>
      </c>
      <c r="L98">
        <f t="shared" si="3"/>
        <v>7.5009566365896008E-2</v>
      </c>
      <c r="P98">
        <v>0.13181019332161623</v>
      </c>
      <c r="Q98">
        <v>-6.2806033456213994E-2</v>
      </c>
    </row>
    <row r="99" spans="1:17" x14ac:dyDescent="0.3">
      <c r="A99" s="1" t="s">
        <v>162</v>
      </c>
      <c r="B99" s="1" t="s">
        <v>163</v>
      </c>
      <c r="K99">
        <f t="shared" si="2"/>
        <v>0.82601054481546521</v>
      </c>
      <c r="L99">
        <f t="shared" si="3"/>
        <v>7.3202665137810985E-2</v>
      </c>
      <c r="P99">
        <v>0.13884007029876921</v>
      </c>
      <c r="Q99">
        <v>-6.2781323695830005E-2</v>
      </c>
    </row>
    <row r="100" spans="1:17" x14ac:dyDescent="0.3">
      <c r="A100" s="1" t="s">
        <v>164</v>
      </c>
      <c r="B100" s="1" t="s">
        <v>165</v>
      </c>
      <c r="K100">
        <f t="shared" si="2"/>
        <v>0.81370826010544717</v>
      </c>
      <c r="L100">
        <f t="shared" si="3"/>
        <v>7.3159423057139017E-2</v>
      </c>
      <c r="P100">
        <v>0.14762741652021022</v>
      </c>
      <c r="Q100">
        <v>-6.2750436495350004E-2</v>
      </c>
    </row>
    <row r="101" spans="1:17" x14ac:dyDescent="0.3">
      <c r="A101" s="1" t="s">
        <v>114</v>
      </c>
      <c r="B101" s="1" t="s">
        <v>166</v>
      </c>
      <c r="K101">
        <f t="shared" si="2"/>
        <v>0.80140597539543024</v>
      </c>
      <c r="L101">
        <f t="shared" si="3"/>
        <v>7.1358699269149006E-2</v>
      </c>
      <c r="P101">
        <v>0.15817223198594021</v>
      </c>
      <c r="Q101">
        <v>-6.4470853562091007E-2</v>
      </c>
    </row>
    <row r="102" spans="1:17" x14ac:dyDescent="0.3">
      <c r="A102">
        <v>0.78910369068541297</v>
      </c>
      <c r="B102" s="1" t="s">
        <v>167</v>
      </c>
      <c r="K102">
        <f t="shared" si="2"/>
        <v>0.79086115992970119</v>
      </c>
      <c r="L102">
        <f t="shared" si="3"/>
        <v>7.1321634628572994E-2</v>
      </c>
      <c r="P102">
        <v>0.1704745166959572</v>
      </c>
      <c r="Q102">
        <v>-6.4427611481418012E-2</v>
      </c>
    </row>
    <row r="103" spans="1:17" x14ac:dyDescent="0.3">
      <c r="A103" s="1" t="s">
        <v>168</v>
      </c>
      <c r="B103" s="1" t="s">
        <v>169</v>
      </c>
      <c r="K103">
        <f t="shared" si="2"/>
        <v>0.77855887521968326</v>
      </c>
      <c r="L103">
        <f t="shared" si="3"/>
        <v>7.1278392547901026E-2</v>
      </c>
      <c r="P103">
        <v>0.18277680140597521</v>
      </c>
      <c r="Q103">
        <v>-6.4384369400745989E-2</v>
      </c>
    </row>
    <row r="104" spans="1:17" x14ac:dyDescent="0.3">
      <c r="A104" s="1" t="s">
        <v>170</v>
      </c>
      <c r="B104" s="1" t="s">
        <v>171</v>
      </c>
      <c r="K104">
        <f t="shared" si="2"/>
        <v>0.76625659050966521</v>
      </c>
      <c r="L104">
        <f t="shared" si="3"/>
        <v>7.1235150467229003E-2</v>
      </c>
      <c r="P104">
        <v>0.1950790861159922</v>
      </c>
      <c r="Q104">
        <v>-6.4341127320073993E-2</v>
      </c>
    </row>
    <row r="105" spans="1:17" x14ac:dyDescent="0.3">
      <c r="A105" s="1" t="s">
        <v>172</v>
      </c>
      <c r="B105" s="1" t="s">
        <v>173</v>
      </c>
      <c r="K105">
        <f t="shared" si="2"/>
        <v>0.75043936731107119</v>
      </c>
      <c r="L105">
        <f t="shared" si="3"/>
        <v>6.9422071799048024E-2</v>
      </c>
      <c r="P105">
        <v>0.2091388400702982</v>
      </c>
      <c r="Q105">
        <v>-6.6049189506623002E-2</v>
      </c>
    </row>
    <row r="106" spans="1:17" x14ac:dyDescent="0.3">
      <c r="A106" s="1" t="s">
        <v>174</v>
      </c>
      <c r="B106" s="1" t="s">
        <v>175</v>
      </c>
      <c r="K106">
        <f t="shared" si="2"/>
        <v>0.73462214411247717</v>
      </c>
      <c r="L106">
        <f t="shared" si="3"/>
        <v>6.9366474838183978E-2</v>
      </c>
      <c r="P106">
        <v>0.22671353251318022</v>
      </c>
      <c r="Q106">
        <v>-6.5987415105663E-2</v>
      </c>
    </row>
    <row r="107" spans="1:17" x14ac:dyDescent="0.3">
      <c r="A107" s="1" t="s">
        <v>176</v>
      </c>
      <c r="B107" s="1" t="s">
        <v>177</v>
      </c>
      <c r="K107">
        <f t="shared" si="2"/>
        <v>0.71353251318101918</v>
      </c>
      <c r="L107">
        <f t="shared" si="3"/>
        <v>6.929234555703101E-2</v>
      </c>
      <c r="P107">
        <v>0.23725834797891021</v>
      </c>
      <c r="Q107">
        <v>-6.5950350465086988E-2</v>
      </c>
    </row>
    <row r="108" spans="1:17" x14ac:dyDescent="0.3">
      <c r="A108" s="1" t="s">
        <v>178</v>
      </c>
      <c r="B108" s="1" t="s">
        <v>179</v>
      </c>
      <c r="K108">
        <f t="shared" si="2"/>
        <v>0.69244288224956019</v>
      </c>
      <c r="L108">
        <f t="shared" si="3"/>
        <v>6.9218216275878985E-2</v>
      </c>
      <c r="P108">
        <v>0.24956063268892723</v>
      </c>
      <c r="Q108">
        <v>-6.4149626677098004E-2</v>
      </c>
    </row>
    <row r="109" spans="1:17" x14ac:dyDescent="0.3">
      <c r="A109" s="1" t="s">
        <v>180</v>
      </c>
      <c r="B109" s="1" t="s">
        <v>181</v>
      </c>
      <c r="K109">
        <f t="shared" si="2"/>
        <v>0.67662565905096617</v>
      </c>
      <c r="L109">
        <f t="shared" si="3"/>
        <v>6.9162619315014995E-2</v>
      </c>
      <c r="P109">
        <v>0.26186291739894524</v>
      </c>
      <c r="Q109">
        <v>-6.4106384596426008E-2</v>
      </c>
    </row>
    <row r="110" spans="1:17" x14ac:dyDescent="0.3">
      <c r="A110" s="1" t="s">
        <v>182</v>
      </c>
      <c r="B110" s="1" t="s">
        <v>183</v>
      </c>
      <c r="K110">
        <f t="shared" si="2"/>
        <v>0.65729349736379517</v>
      </c>
      <c r="L110">
        <f t="shared" si="3"/>
        <v>6.9094667473958982E-2</v>
      </c>
      <c r="P110">
        <v>0.27416520210896222</v>
      </c>
      <c r="Q110">
        <v>-6.4063142515753013E-2</v>
      </c>
    </row>
    <row r="111" spans="1:17" x14ac:dyDescent="0.3">
      <c r="A111" s="1" t="s">
        <v>184</v>
      </c>
      <c r="B111" s="1" t="s">
        <v>185</v>
      </c>
      <c r="K111">
        <f t="shared" si="2"/>
        <v>0.63268892794376019</v>
      </c>
      <c r="L111">
        <f t="shared" si="3"/>
        <v>7.0765665019931978E-2</v>
      </c>
      <c r="P111">
        <v>0.28471001757469222</v>
      </c>
      <c r="Q111">
        <v>-6.4026077875177001E-2</v>
      </c>
    </row>
    <row r="112" spans="1:17" x14ac:dyDescent="0.3">
      <c r="A112" s="1" t="s">
        <v>186</v>
      </c>
      <c r="B112" s="1" t="s">
        <v>187</v>
      </c>
      <c r="K112">
        <f t="shared" si="2"/>
        <v>0.62038664323374326</v>
      </c>
      <c r="L112">
        <f t="shared" si="3"/>
        <v>7.072242293926001E-2</v>
      </c>
      <c r="P112">
        <v>0.29349736379613323</v>
      </c>
      <c r="Q112">
        <v>-6.3995190674697E-2</v>
      </c>
    </row>
    <row r="113" spans="1:17" x14ac:dyDescent="0.3">
      <c r="A113" s="1" t="s">
        <v>91</v>
      </c>
      <c r="B113" s="1" t="s">
        <v>188</v>
      </c>
      <c r="K113">
        <f t="shared" si="2"/>
        <v>0.60808435852372522</v>
      </c>
      <c r="L113">
        <f t="shared" si="3"/>
        <v>7.0679180858586987E-2</v>
      </c>
      <c r="P113">
        <v>0.30404217926186222</v>
      </c>
      <c r="Q113">
        <v>-6.2200644326804E-2</v>
      </c>
    </row>
    <row r="114" spans="1:17" x14ac:dyDescent="0.3">
      <c r="A114" s="1" t="s">
        <v>189</v>
      </c>
      <c r="B114" s="1" t="s">
        <v>190</v>
      </c>
      <c r="K114">
        <f t="shared" si="2"/>
        <v>0.59402460456941919</v>
      </c>
      <c r="L114">
        <f t="shared" si="3"/>
        <v>7.0629761337819008E-2</v>
      </c>
      <c r="P114">
        <v>0.31282952548330323</v>
      </c>
      <c r="Q114">
        <v>-6.2169757126323999E-2</v>
      </c>
    </row>
    <row r="115" spans="1:17" x14ac:dyDescent="0.3">
      <c r="A115" s="1" t="s">
        <v>191</v>
      </c>
      <c r="B115" s="1" t="s">
        <v>192</v>
      </c>
      <c r="K115">
        <f t="shared" si="2"/>
        <v>0.57820738137082517</v>
      </c>
      <c r="L115">
        <f t="shared" si="3"/>
        <v>7.0574164376955018E-2</v>
      </c>
      <c r="P115">
        <v>0.3268892794376092</v>
      </c>
      <c r="Q115">
        <v>-6.0362855898239004E-2</v>
      </c>
    </row>
    <row r="116" spans="1:17" x14ac:dyDescent="0.3">
      <c r="A116" s="1" t="s">
        <v>193</v>
      </c>
      <c r="B116" s="1" t="s">
        <v>194</v>
      </c>
      <c r="K116">
        <f t="shared" si="2"/>
        <v>0.56239015817223126</v>
      </c>
      <c r="L116">
        <f t="shared" si="3"/>
        <v>7.0518567416091027E-2</v>
      </c>
      <c r="P116">
        <v>0.3374340949033392</v>
      </c>
      <c r="Q116">
        <v>-5.8568309550346004E-2</v>
      </c>
    </row>
    <row r="117" spans="1:17" x14ac:dyDescent="0.3">
      <c r="A117" s="1" t="s">
        <v>195</v>
      </c>
      <c r="B117" s="1" t="s">
        <v>196</v>
      </c>
      <c r="K117">
        <f t="shared" si="2"/>
        <v>0.54481546572934925</v>
      </c>
      <c r="L117">
        <f t="shared" si="3"/>
        <v>7.2214274722448013E-2</v>
      </c>
      <c r="P117">
        <v>0.35149384885764423</v>
      </c>
      <c r="Q117">
        <v>-5.8518890029576998E-2</v>
      </c>
    </row>
    <row r="118" spans="1:17" x14ac:dyDescent="0.3">
      <c r="A118">
        <v>0.52372583479789103</v>
      </c>
      <c r="B118" s="1" t="s">
        <v>197</v>
      </c>
      <c r="K118">
        <f t="shared" si="2"/>
        <v>0.52548330404217924</v>
      </c>
      <c r="L118">
        <f t="shared" si="3"/>
        <v>7.2146322881392E-2</v>
      </c>
      <c r="P118">
        <v>0.36906854130052719</v>
      </c>
      <c r="Q118">
        <v>-5.6699633921300008E-2</v>
      </c>
    </row>
    <row r="119" spans="1:17" x14ac:dyDescent="0.3">
      <c r="A119">
        <v>0.50790861159929701</v>
      </c>
      <c r="B119" s="1" t="s">
        <v>198</v>
      </c>
      <c r="K119">
        <f t="shared" si="2"/>
        <v>0.50966608084358522</v>
      </c>
      <c r="L119">
        <f t="shared" si="3"/>
        <v>7.3848207627844997E-2</v>
      </c>
      <c r="P119">
        <v>0.38488576449912121</v>
      </c>
      <c r="Q119">
        <v>-5.4886555253119002E-2</v>
      </c>
    </row>
    <row r="120" spans="1:17" x14ac:dyDescent="0.3">
      <c r="A120" s="1" t="s">
        <v>199</v>
      </c>
      <c r="B120">
        <v>0.362038142987269</v>
      </c>
      <c r="K120">
        <f t="shared" si="2"/>
        <v>0.50087873462214316</v>
      </c>
      <c r="L120">
        <f t="shared" si="3"/>
        <v>7.3817320427364996E-2</v>
      </c>
      <c r="P120">
        <v>0.40070298769771523</v>
      </c>
      <c r="Q120">
        <v>-5.3073476584937995E-2</v>
      </c>
    </row>
    <row r="121" spans="1:17" x14ac:dyDescent="0.3">
      <c r="A121" s="1" t="s">
        <v>200</v>
      </c>
      <c r="B121" s="1" t="s">
        <v>201</v>
      </c>
      <c r="K121">
        <f t="shared" si="2"/>
        <v>0.48681898066783819</v>
      </c>
      <c r="L121">
        <f t="shared" si="3"/>
        <v>7.5525382613913006E-2</v>
      </c>
      <c r="P121">
        <v>0.41124780316344423</v>
      </c>
      <c r="Q121">
        <v>-5.1278930237044995E-2</v>
      </c>
    </row>
    <row r="122" spans="1:17" x14ac:dyDescent="0.3">
      <c r="A122" s="1" t="s">
        <v>202</v>
      </c>
      <c r="B122" s="1" t="s">
        <v>203</v>
      </c>
      <c r="K122">
        <f t="shared" si="2"/>
        <v>0.47275922671353221</v>
      </c>
      <c r="L122">
        <f t="shared" si="3"/>
        <v>7.5475963093145026E-2</v>
      </c>
      <c r="P122">
        <v>0.42706502636203819</v>
      </c>
      <c r="Q122">
        <v>-4.946585156886299E-2</v>
      </c>
    </row>
    <row r="123" spans="1:17" x14ac:dyDescent="0.3">
      <c r="A123" s="1" t="s">
        <v>77</v>
      </c>
      <c r="B123" s="1" t="s">
        <v>204</v>
      </c>
      <c r="K123">
        <f t="shared" si="2"/>
        <v>0.45694200351493819</v>
      </c>
      <c r="L123">
        <f t="shared" si="3"/>
        <v>7.542036613228098E-2</v>
      </c>
      <c r="P123">
        <v>0.44112478031634422</v>
      </c>
      <c r="Q123">
        <v>-4.7658950340777995E-2</v>
      </c>
    </row>
    <row r="124" spans="1:17" x14ac:dyDescent="0.3">
      <c r="A124" s="1" t="s">
        <v>205</v>
      </c>
      <c r="B124" s="1" t="s">
        <v>206</v>
      </c>
      <c r="K124">
        <f t="shared" si="2"/>
        <v>0.4446397188049202</v>
      </c>
      <c r="L124">
        <f t="shared" si="3"/>
        <v>7.5377124051609012E-2</v>
      </c>
      <c r="P124">
        <v>0.45694200351493819</v>
      </c>
      <c r="Q124">
        <v>-4.408838996528E-2</v>
      </c>
    </row>
    <row r="125" spans="1:17" x14ac:dyDescent="0.3">
      <c r="A125" s="1" t="s">
        <v>207</v>
      </c>
      <c r="B125" s="1" t="s">
        <v>208</v>
      </c>
      <c r="K125">
        <f t="shared" si="2"/>
        <v>0.42882249560632624</v>
      </c>
      <c r="L125">
        <f t="shared" si="3"/>
        <v>7.707900879806201E-2</v>
      </c>
      <c r="P125">
        <v>0.4745166959578202</v>
      </c>
      <c r="Q125">
        <v>-4.2269133857003011E-2</v>
      </c>
    </row>
    <row r="126" spans="1:17" x14ac:dyDescent="0.3">
      <c r="A126" s="1" t="s">
        <v>209</v>
      </c>
      <c r="B126" s="1" t="s">
        <v>210</v>
      </c>
      <c r="K126">
        <f t="shared" si="2"/>
        <v>0.41300527240773222</v>
      </c>
      <c r="L126">
        <f t="shared" si="3"/>
        <v>7.7023411837198019E-2</v>
      </c>
      <c r="P126">
        <v>0.4938488576449912</v>
      </c>
      <c r="Q126">
        <v>-3.8686218601311995E-2</v>
      </c>
    </row>
    <row r="127" spans="1:17" x14ac:dyDescent="0.3">
      <c r="A127" s="1" t="s">
        <v>211</v>
      </c>
      <c r="B127" s="1" t="s">
        <v>212</v>
      </c>
      <c r="K127">
        <f t="shared" si="2"/>
        <v>0.39718804920913819</v>
      </c>
      <c r="L127">
        <f t="shared" si="3"/>
        <v>7.6967814876333973E-2</v>
      </c>
      <c r="P127">
        <v>0.51142355008787321</v>
      </c>
      <c r="Q127">
        <v>-3.5109480785718017E-2</v>
      </c>
    </row>
    <row r="128" spans="1:17" x14ac:dyDescent="0.3">
      <c r="A128" s="1" t="s">
        <v>67</v>
      </c>
      <c r="B128">
        <v>0.365145395355566</v>
      </c>
      <c r="K128">
        <f t="shared" si="2"/>
        <v>0.38488576449912121</v>
      </c>
      <c r="L128">
        <f t="shared" si="3"/>
        <v>7.6924572795662005E-2</v>
      </c>
      <c r="P128">
        <v>0.52724077328646723</v>
      </c>
      <c r="Q128">
        <v>-3.3296402117536983E-2</v>
      </c>
    </row>
    <row r="129" spans="1:17" x14ac:dyDescent="0.3">
      <c r="A129" s="1" t="s">
        <v>213</v>
      </c>
      <c r="B129" s="1" t="s">
        <v>214</v>
      </c>
      <c r="K129">
        <f t="shared" si="2"/>
        <v>0.37434094903339121</v>
      </c>
      <c r="L129">
        <f t="shared" si="3"/>
        <v>7.6887508155084994E-2</v>
      </c>
      <c r="P129">
        <v>0.54130052724077327</v>
      </c>
      <c r="Q129">
        <v>-3.1489500889451016E-2</v>
      </c>
    </row>
    <row r="130" spans="1:17" x14ac:dyDescent="0.3">
      <c r="A130" s="1" t="s">
        <v>215</v>
      </c>
      <c r="B130" s="1" t="s">
        <v>216</v>
      </c>
      <c r="K130">
        <f t="shared" ref="K130:K161" si="4">A130-$A$1</f>
        <v>0.36203866432337423</v>
      </c>
      <c r="L130">
        <f t="shared" ref="L130:L161" si="5">B130-$B$1</f>
        <v>7.8601747781730014E-2</v>
      </c>
      <c r="P130">
        <v>0.55887521968365517</v>
      </c>
      <c r="Q130">
        <v>-2.7912763073856983E-2</v>
      </c>
    </row>
    <row r="131" spans="1:17" x14ac:dyDescent="0.3">
      <c r="A131" s="1" t="s">
        <v>217</v>
      </c>
      <c r="B131" s="1" t="s">
        <v>218</v>
      </c>
      <c r="K131">
        <f t="shared" si="4"/>
        <v>0.34973637961335619</v>
      </c>
      <c r="L131">
        <f t="shared" si="5"/>
        <v>7.855850570105799E-2</v>
      </c>
      <c r="P131">
        <v>0.57469244288224919</v>
      </c>
      <c r="Q131">
        <v>-2.4342202698359017E-2</v>
      </c>
    </row>
    <row r="132" spans="1:17" x14ac:dyDescent="0.3">
      <c r="A132" s="1" t="s">
        <v>219</v>
      </c>
      <c r="B132" s="1" t="s">
        <v>220</v>
      </c>
      <c r="K132">
        <f t="shared" si="4"/>
        <v>0.33919156414762719</v>
      </c>
      <c r="L132">
        <f t="shared" si="5"/>
        <v>7.8521441060481978E-2</v>
      </c>
      <c r="P132">
        <v>0.59050966608084321</v>
      </c>
      <c r="Q132">
        <v>-2.0771642322859996E-2</v>
      </c>
    </row>
    <row r="133" spans="1:17" x14ac:dyDescent="0.3">
      <c r="A133" s="1" t="s">
        <v>221</v>
      </c>
      <c r="B133" s="1" t="s">
        <v>222</v>
      </c>
      <c r="K133">
        <f t="shared" si="4"/>
        <v>0.33040421792618624</v>
      </c>
      <c r="L133">
        <f t="shared" si="5"/>
        <v>7.8490553860001977E-2</v>
      </c>
      <c r="P133">
        <v>0.60808435852372522</v>
      </c>
      <c r="Q133">
        <v>-1.8952386214583006E-2</v>
      </c>
    </row>
    <row r="134" spans="1:17" x14ac:dyDescent="0.3">
      <c r="A134" s="1" t="s">
        <v>223</v>
      </c>
      <c r="B134" s="1" t="s">
        <v>224</v>
      </c>
      <c r="K134">
        <f t="shared" si="4"/>
        <v>0.31985940246045619</v>
      </c>
      <c r="L134">
        <f t="shared" si="5"/>
        <v>7.845348921942602E-2</v>
      </c>
      <c r="P134">
        <v>0.62214411247803125</v>
      </c>
      <c r="Q134">
        <v>-1.5388003279180995E-2</v>
      </c>
    </row>
    <row r="135" spans="1:17" x14ac:dyDescent="0.3">
      <c r="A135" s="1" t="s">
        <v>225</v>
      </c>
      <c r="B135" s="1" t="s">
        <v>226</v>
      </c>
      <c r="K135">
        <f t="shared" si="4"/>
        <v>0.30228471001757423</v>
      </c>
      <c r="L135">
        <f t="shared" si="5"/>
        <v>7.8391714818466018E-2</v>
      </c>
      <c r="P135">
        <v>0.63796133567662516</v>
      </c>
      <c r="Q135">
        <v>-1.1817442903682973E-2</v>
      </c>
    </row>
    <row r="136" spans="1:17" x14ac:dyDescent="0.3">
      <c r="A136" s="1" t="s">
        <v>53</v>
      </c>
      <c r="B136">
        <v>0.36655076297741002</v>
      </c>
      <c r="K136">
        <f t="shared" si="4"/>
        <v>0.28471001757469222</v>
      </c>
      <c r="L136">
        <f t="shared" si="5"/>
        <v>7.8329940417506017E-2</v>
      </c>
      <c r="P136">
        <v>0.6502636203866432</v>
      </c>
      <c r="Q136">
        <v>-1.0016719115693018E-2</v>
      </c>
    </row>
    <row r="137" spans="1:17" x14ac:dyDescent="0.3">
      <c r="A137" s="1" t="s">
        <v>227</v>
      </c>
      <c r="B137" s="1" t="s">
        <v>228</v>
      </c>
      <c r="K137">
        <f t="shared" si="4"/>
        <v>0.27065026362038619</v>
      </c>
      <c r="L137">
        <f t="shared" si="5"/>
        <v>7.6523039189419995E-2</v>
      </c>
      <c r="P137">
        <v>0.66256590509666025</v>
      </c>
      <c r="Q137">
        <v>-8.2159953277040065E-3</v>
      </c>
    </row>
    <row r="138" spans="1:17" x14ac:dyDescent="0.3">
      <c r="A138" s="1" t="s">
        <v>229</v>
      </c>
      <c r="B138" s="1" t="s">
        <v>230</v>
      </c>
      <c r="K138">
        <f t="shared" si="4"/>
        <v>0.25659050966608021</v>
      </c>
      <c r="L138">
        <f t="shared" si="5"/>
        <v>7.6473619668652015E-2</v>
      </c>
      <c r="P138">
        <v>0.68189806678383125</v>
      </c>
      <c r="Q138">
        <v>-2.8755983646969741E-3</v>
      </c>
    </row>
    <row r="139" spans="1:17" x14ac:dyDescent="0.3">
      <c r="A139" s="1" t="s">
        <v>231</v>
      </c>
      <c r="B139" s="1" t="s">
        <v>232</v>
      </c>
      <c r="K139">
        <f t="shared" si="4"/>
        <v>0.24253075571177421</v>
      </c>
      <c r="L139">
        <f t="shared" si="5"/>
        <v>7.6424200147883981E-2</v>
      </c>
      <c r="P139">
        <v>0.69947275922671326</v>
      </c>
      <c r="Q139">
        <v>7.0113945089800289E-4</v>
      </c>
    </row>
    <row r="140" spans="1:17" x14ac:dyDescent="0.3">
      <c r="A140" s="1" t="s">
        <v>233</v>
      </c>
      <c r="B140" s="1" t="s">
        <v>234</v>
      </c>
      <c r="K140">
        <f t="shared" si="4"/>
        <v>0.23022847100175722</v>
      </c>
      <c r="L140">
        <f t="shared" si="5"/>
        <v>7.4623476359895025E-2</v>
      </c>
      <c r="P140">
        <v>0.71177504393673019</v>
      </c>
      <c r="Q140">
        <v>2.5018632388870143E-3</v>
      </c>
    </row>
    <row r="141" spans="1:17" x14ac:dyDescent="0.3">
      <c r="A141" s="1" t="s">
        <v>235</v>
      </c>
      <c r="B141" s="1" t="s">
        <v>236</v>
      </c>
      <c r="K141">
        <f t="shared" si="4"/>
        <v>0.21089630931458622</v>
      </c>
      <c r="L141">
        <f t="shared" si="5"/>
        <v>7.4555524518839011E-2</v>
      </c>
      <c r="P141">
        <v>0.72056239015817225</v>
      </c>
      <c r="Q141">
        <v>6.0477138540009912E-3</v>
      </c>
    </row>
    <row r="142" spans="1:17" x14ac:dyDescent="0.3">
      <c r="A142">
        <v>0.19507908611599301</v>
      </c>
      <c r="B142" s="1" t="s">
        <v>237</v>
      </c>
      <c r="K142">
        <f t="shared" si="4"/>
        <v>0.19683655536028122</v>
      </c>
      <c r="L142">
        <f t="shared" si="5"/>
        <v>7.274862329075299E-2</v>
      </c>
      <c r="P142">
        <v>0.73637961335676616</v>
      </c>
      <c r="Q142">
        <v>9.6182742294990131E-3</v>
      </c>
    </row>
    <row r="143" spans="1:17" x14ac:dyDescent="0.3">
      <c r="A143" s="1" t="s">
        <v>238</v>
      </c>
      <c r="B143" s="1" t="s">
        <v>239</v>
      </c>
      <c r="K143">
        <f t="shared" si="4"/>
        <v>0.17926186291739821</v>
      </c>
      <c r="L143">
        <f t="shared" si="5"/>
        <v>7.0929367182476E-2</v>
      </c>
      <c r="P143">
        <v>0.74692442882249521</v>
      </c>
      <c r="Q143">
        <v>1.1412820577392013E-2</v>
      </c>
    </row>
    <row r="144" spans="1:17" x14ac:dyDescent="0.3">
      <c r="A144" s="1" t="s">
        <v>240</v>
      </c>
      <c r="B144" s="1" t="s">
        <v>241</v>
      </c>
      <c r="K144">
        <f t="shared" si="4"/>
        <v>0.1652021089630922</v>
      </c>
      <c r="L144">
        <f t="shared" si="5"/>
        <v>6.9122465954390977E-2</v>
      </c>
      <c r="P144">
        <v>0.75922671353251225</v>
      </c>
      <c r="Q144">
        <v>1.4971026072699012E-2</v>
      </c>
    </row>
    <row r="145" spans="1:17" x14ac:dyDescent="0.3">
      <c r="A145" s="1" t="s">
        <v>242</v>
      </c>
      <c r="B145" s="1" t="s">
        <v>243</v>
      </c>
      <c r="K145">
        <f t="shared" si="4"/>
        <v>0.1511423550087872</v>
      </c>
      <c r="L145">
        <f t="shared" si="5"/>
        <v>6.731556472630601E-2</v>
      </c>
      <c r="P145">
        <v>0.77680140597539526</v>
      </c>
      <c r="Q145">
        <v>2.0305245595609978E-2</v>
      </c>
    </row>
    <row r="146" spans="1:17" x14ac:dyDescent="0.3">
      <c r="A146" s="1" t="s">
        <v>244</v>
      </c>
      <c r="B146" s="1" t="s">
        <v>245</v>
      </c>
      <c r="K146">
        <f t="shared" si="4"/>
        <v>0.13708260105448122</v>
      </c>
      <c r="L146">
        <f t="shared" si="5"/>
        <v>6.5508663498220987E-2</v>
      </c>
      <c r="P146">
        <v>0.79086115992970119</v>
      </c>
      <c r="Q146">
        <v>2.3869628531011988E-2</v>
      </c>
    </row>
    <row r="147" spans="1:17" x14ac:dyDescent="0.3">
      <c r="A147" s="1" t="s">
        <v>25</v>
      </c>
      <c r="B147" s="1" t="s">
        <v>246</v>
      </c>
      <c r="K147">
        <f t="shared" si="4"/>
        <v>0.12126537785588722</v>
      </c>
      <c r="L147">
        <f t="shared" si="5"/>
        <v>6.3695584830039009E-2</v>
      </c>
      <c r="P147">
        <v>0.80140597539543024</v>
      </c>
      <c r="Q147">
        <v>2.7421656586222976E-2</v>
      </c>
    </row>
    <row r="148" spans="1:17" x14ac:dyDescent="0.3">
      <c r="A148" s="1" t="s">
        <v>247</v>
      </c>
      <c r="B148" s="1" t="s">
        <v>248</v>
      </c>
      <c r="K148">
        <f t="shared" si="4"/>
        <v>0.10720562390158121</v>
      </c>
      <c r="L148">
        <f t="shared" si="5"/>
        <v>6.0131201894636999E-2</v>
      </c>
      <c r="P148">
        <v>0.81722319859402426</v>
      </c>
      <c r="Q148">
        <v>3.0992216961720997E-2</v>
      </c>
    </row>
    <row r="149" spans="1:17" x14ac:dyDescent="0.3">
      <c r="A149">
        <v>9.3145869947275903E-2</v>
      </c>
      <c r="B149" s="1" t="s">
        <v>249</v>
      </c>
      <c r="K149">
        <f t="shared" si="4"/>
        <v>9.4903339191564115E-2</v>
      </c>
      <c r="L149">
        <f t="shared" si="5"/>
        <v>5.8330478106647987E-2</v>
      </c>
      <c r="P149">
        <v>0.83304042179261817</v>
      </c>
      <c r="Q149">
        <v>3.6320259044536007E-2</v>
      </c>
    </row>
    <row r="150" spans="1:17" x14ac:dyDescent="0.3">
      <c r="A150">
        <v>8.2601054481546504E-2</v>
      </c>
      <c r="B150" s="1" t="s">
        <v>250</v>
      </c>
      <c r="K150">
        <f t="shared" si="4"/>
        <v>8.4358523725834716E-2</v>
      </c>
      <c r="L150">
        <f t="shared" si="5"/>
        <v>5.4778450051437999E-2</v>
      </c>
      <c r="P150">
        <v>0.84885764499121219</v>
      </c>
      <c r="Q150">
        <v>4.1648301127352017E-2</v>
      </c>
    </row>
    <row r="151" spans="1:17" x14ac:dyDescent="0.3">
      <c r="A151">
        <v>7.2056239015817203E-2</v>
      </c>
      <c r="B151" s="1" t="s">
        <v>251</v>
      </c>
      <c r="K151">
        <f t="shared" si="4"/>
        <v>7.3813708260105415E-2</v>
      </c>
      <c r="L151">
        <f t="shared" si="5"/>
        <v>5.1226421996227012E-2</v>
      </c>
      <c r="P151">
        <v>0.86467486818980621</v>
      </c>
      <c r="Q151">
        <v>4.5218861502849983E-2</v>
      </c>
    </row>
    <row r="152" spans="1:17" x14ac:dyDescent="0.3">
      <c r="A152">
        <v>5.9753954305799599E-2</v>
      </c>
      <c r="B152" s="1" t="s">
        <v>252</v>
      </c>
      <c r="K152">
        <f t="shared" si="4"/>
        <v>6.1511423550087811E-2</v>
      </c>
      <c r="L152">
        <f t="shared" si="5"/>
        <v>4.7668216500921012E-2</v>
      </c>
      <c r="P152">
        <v>0.88049209138840023</v>
      </c>
      <c r="Q152">
        <v>5.0546903585664993E-2</v>
      </c>
    </row>
    <row r="153" spans="1:17" x14ac:dyDescent="0.3">
      <c r="A153" s="1" t="s">
        <v>253</v>
      </c>
      <c r="B153" s="1" t="s">
        <v>254</v>
      </c>
      <c r="K153">
        <f t="shared" si="4"/>
        <v>5.096660808435851E-2</v>
      </c>
      <c r="L153">
        <f t="shared" si="5"/>
        <v>4.4116188445711024E-2</v>
      </c>
      <c r="P153">
        <v>0.89806678383128224</v>
      </c>
      <c r="Q153">
        <v>5.4123641401260025E-2</v>
      </c>
    </row>
    <row r="154" spans="1:17" x14ac:dyDescent="0.3">
      <c r="A154">
        <v>3.6906854130052701E-2</v>
      </c>
      <c r="B154">
        <v>0.32702132380299198</v>
      </c>
      <c r="K154">
        <f t="shared" si="4"/>
        <v>3.8664323374340913E-2</v>
      </c>
      <c r="L154">
        <f t="shared" si="5"/>
        <v>3.8800501243087981E-2</v>
      </c>
      <c r="P154">
        <v>0.91564147627416426</v>
      </c>
      <c r="Q154">
        <v>5.9457860924170991E-2</v>
      </c>
    </row>
    <row r="155" spans="1:17" x14ac:dyDescent="0.3">
      <c r="A155" s="1" t="s">
        <v>255</v>
      </c>
      <c r="B155" s="1" t="s">
        <v>256</v>
      </c>
      <c r="K155">
        <f t="shared" si="4"/>
        <v>2.6362038664323309E-2</v>
      </c>
      <c r="L155">
        <f t="shared" si="5"/>
        <v>3.1727332333147007E-2</v>
      </c>
      <c r="P155">
        <v>0.92442882249560621</v>
      </c>
      <c r="Q155">
        <v>6.3003711539285023E-2</v>
      </c>
    </row>
    <row r="156" spans="1:17" x14ac:dyDescent="0.3">
      <c r="A156">
        <v>1.7574692442882199E-2</v>
      </c>
      <c r="B156" s="1" t="s">
        <v>257</v>
      </c>
      <c r="K156">
        <f t="shared" si="4"/>
        <v>1.9332161687170408E-2</v>
      </c>
      <c r="L156">
        <f t="shared" si="5"/>
        <v>2.6430177450811998E-2</v>
      </c>
      <c r="P156">
        <v>0.93673110720562325</v>
      </c>
      <c r="Q156">
        <v>6.6561917034592022E-2</v>
      </c>
    </row>
    <row r="157" spans="1:17" x14ac:dyDescent="0.3">
      <c r="A157" s="1" t="s">
        <v>258</v>
      </c>
      <c r="B157" s="1" t="s">
        <v>259</v>
      </c>
      <c r="K157">
        <f t="shared" si="4"/>
        <v>1.405975395430571E-2</v>
      </c>
      <c r="L157">
        <f t="shared" si="5"/>
        <v>2.2896681715889988E-2</v>
      </c>
      <c r="P157">
        <v>0.95254833040421716</v>
      </c>
      <c r="Q157">
        <v>7.1889959117406976E-2</v>
      </c>
    </row>
    <row r="158" spans="1:17" x14ac:dyDescent="0.3">
      <c r="A158">
        <v>8.7873462214411394E-3</v>
      </c>
      <c r="B158" s="1" t="s">
        <v>260</v>
      </c>
      <c r="K158">
        <f t="shared" si="4"/>
        <v>1.054481546572935E-2</v>
      </c>
      <c r="L158">
        <f t="shared" si="5"/>
        <v>1.9369363421062991E-2</v>
      </c>
      <c r="P158">
        <v>0.97012302284710017</v>
      </c>
      <c r="Q158">
        <v>7.7224178640317998E-2</v>
      </c>
    </row>
    <row r="159" spans="1:17" x14ac:dyDescent="0.3">
      <c r="A159">
        <v>5.2724077328647201E-3</v>
      </c>
      <c r="B159" s="1" t="s">
        <v>261</v>
      </c>
      <c r="K159">
        <f t="shared" si="4"/>
        <v>7.0298769771529306E-3</v>
      </c>
      <c r="L159">
        <f t="shared" si="5"/>
        <v>1.5842045126236992E-2</v>
      </c>
      <c r="P159">
        <v>0.9841827768014052</v>
      </c>
      <c r="Q159">
        <v>8.2546043283037995E-2</v>
      </c>
    </row>
    <row r="160" spans="1:17" x14ac:dyDescent="0.3">
      <c r="A160">
        <v>1.75746924428826E-3</v>
      </c>
      <c r="B160" s="1" t="s">
        <v>262</v>
      </c>
      <c r="K160">
        <f t="shared" si="4"/>
        <v>3.5149384885764701E-3</v>
      </c>
      <c r="L160">
        <f t="shared" si="5"/>
        <v>1.0557245124094006E-2</v>
      </c>
      <c r="P160">
        <v>0.99824253075571123</v>
      </c>
      <c r="Q160">
        <v>8.6110426218440006E-2</v>
      </c>
    </row>
    <row r="161" spans="1:17" x14ac:dyDescent="0.3">
      <c r="A161">
        <v>0</v>
      </c>
      <c r="B161" s="1" t="s">
        <v>263</v>
      </c>
      <c r="K161">
        <f t="shared" si="4"/>
        <v>1.7574692442882101E-3</v>
      </c>
      <c r="L161">
        <f t="shared" si="5"/>
        <v>5.2786225620469751E-3</v>
      </c>
      <c r="P161">
        <v>1.0052724077328581</v>
      </c>
      <c r="Q161">
        <v>8.7892617686140984E-2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center_first_element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Sanguinetti</dc:creator>
  <cp:lastModifiedBy>Sanguinetti, Anthony Joseph</cp:lastModifiedBy>
  <dcterms:created xsi:type="dcterms:W3CDTF">2026-05-07T07:39:38Z</dcterms:created>
  <dcterms:modified xsi:type="dcterms:W3CDTF">2026-05-07T09:10:33Z</dcterms:modified>
</cp:coreProperties>
</file>